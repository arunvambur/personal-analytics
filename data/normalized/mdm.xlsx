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/repos/arunvambur/personal-analytics/data/normalized/"/>
    </mc:Choice>
  </mc:AlternateContent>
  <xr:revisionPtr revIDLastSave="0" documentId="13_ncr:1_{1B3884F3-C019-C348-A0B0-2BF842A73223}" xr6:coauthVersionLast="47" xr6:coauthVersionMax="47" xr10:uidLastSave="{00000000-0000-0000-0000-000000000000}"/>
  <bookViews>
    <workbookView xWindow="0" yWindow="760" windowWidth="30240" windowHeight="17800" firstSheet="6" activeTab="12" xr2:uid="{0D9B0028-07D1-7947-A175-A21F9F058AC3}"/>
  </bookViews>
  <sheets>
    <sheet name="People" sheetId="5" r:id="rId1"/>
    <sheet name="Equity" sheetId="2" r:id="rId2"/>
    <sheet name="Equity Transaction" sheetId="1" r:id="rId3"/>
    <sheet name="Equity Dividend" sheetId="14" r:id="rId4"/>
    <sheet name="Mutual Fund" sheetId="3" r:id="rId5"/>
    <sheet name="Mutual Fund Transaction" sheetId="4" r:id="rId6"/>
    <sheet name="Mutual Fund Dividend" sheetId="15" r:id="rId7"/>
    <sheet name="LIC" sheetId="6" r:id="rId8"/>
    <sheet name="Providend Fund" sheetId="19" r:id="rId9"/>
    <sheet name="SSY" sheetId="8" r:id="rId10"/>
    <sheet name="NPS" sheetId="20" r:id="rId11"/>
    <sheet name="NPS Transaction" sheetId="16" r:id="rId12"/>
    <sheet name="Bond" sheetId="9" r:id="rId13"/>
    <sheet name="Fixed Deposit" sheetId="10" r:id="rId14"/>
    <sheet name="ESPP" sheetId="11" r:id="rId15"/>
    <sheet name="Gold" sheetId="12" r:id="rId16"/>
    <sheet name="Silver" sheetId="13" r:id="rId17"/>
    <sheet name="Fixed Assets" sheetId="17" r:id="rId18"/>
    <sheet name="Loan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5" l="1" a="1"/>
  <c r="K3" i="15" s="1"/>
  <c r="K4" i="15" a="1"/>
  <c r="K4" i="15" s="1"/>
  <c r="K5" i="15" a="1"/>
  <c r="K5" i="15" s="1"/>
  <c r="K6" i="15" a="1"/>
  <c r="K6" i="15" s="1"/>
  <c r="K7" i="15" a="1"/>
  <c r="K7" i="15" s="1"/>
  <c r="K8" i="15" a="1"/>
  <c r="K8" i="15" s="1"/>
  <c r="K9" i="15" a="1"/>
  <c r="K9" i="15" s="1"/>
  <c r="K11" i="15" a="1"/>
  <c r="K11" i="15" s="1"/>
  <c r="K13" i="15" a="1"/>
  <c r="K13" i="15" s="1"/>
  <c r="K16" i="15" a="1"/>
  <c r="K16" i="15" s="1"/>
  <c r="K18" i="15" a="1"/>
  <c r="K18" i="15" s="1"/>
  <c r="K20" i="15" a="1"/>
  <c r="K20" i="15" s="1"/>
  <c r="K22" i="15" a="1"/>
  <c r="K22" i="15" s="1"/>
  <c r="K24" i="15" a="1"/>
  <c r="K24" i="15" s="1"/>
  <c r="K26" i="15" a="1"/>
  <c r="K26" i="15" s="1"/>
  <c r="K28" i="15" a="1"/>
  <c r="K28" i="15" s="1"/>
  <c r="K30" i="15" a="1"/>
  <c r="K30" i="15" s="1"/>
  <c r="K32" i="15" a="1"/>
  <c r="K32" i="15" s="1"/>
  <c r="K35" i="15" a="1"/>
  <c r="K35" i="15" s="1"/>
  <c r="K37" i="15" a="1"/>
  <c r="K37" i="15" s="1"/>
  <c r="K39" i="15" a="1"/>
  <c r="K39" i="15" s="1"/>
  <c r="K41" i="15" a="1"/>
  <c r="K41" i="15" s="1"/>
  <c r="K43" i="15" a="1"/>
  <c r="K43" i="15" s="1"/>
  <c r="K45" i="15" a="1"/>
  <c r="K45" i="15" s="1"/>
  <c r="K48" i="15" a="1"/>
  <c r="K48" i="15" s="1"/>
  <c r="K50" i="15" a="1"/>
  <c r="K50" i="15" s="1"/>
  <c r="K52" i="15" a="1"/>
  <c r="K52" i="15" s="1"/>
  <c r="K54" i="15" a="1"/>
  <c r="K54" i="15" s="1"/>
  <c r="K56" i="15" a="1"/>
  <c r="K56" i="15" s="1"/>
  <c r="K58" i="15" a="1"/>
  <c r="K58" i="15" s="1"/>
  <c r="K61" i="15" a="1"/>
  <c r="K61" i="15" s="1"/>
  <c r="K63" i="15" a="1"/>
  <c r="K63" i="15" s="1"/>
  <c r="K65" i="15" a="1"/>
  <c r="K65" i="15" s="1"/>
  <c r="K67" i="15" a="1"/>
  <c r="K67" i="15" s="1"/>
  <c r="K69" i="15" a="1"/>
  <c r="K69" i="15" s="1"/>
  <c r="K71" i="15" a="1"/>
  <c r="K71" i="15" s="1"/>
  <c r="K74" i="15" a="1"/>
  <c r="K74" i="15" s="1"/>
  <c r="K76" i="15" a="1"/>
  <c r="K76" i="15" s="1"/>
  <c r="K78" i="15" a="1"/>
  <c r="K78" i="15" s="1"/>
  <c r="K80" i="15" a="1"/>
  <c r="K80" i="15" s="1"/>
  <c r="K82" i="15" a="1"/>
  <c r="K82" i="15" s="1"/>
  <c r="K84" i="15" a="1"/>
  <c r="K84" i="15" s="1"/>
  <c r="K87" i="15" a="1"/>
  <c r="K87" i="15" s="1"/>
  <c r="K89" i="15" a="1"/>
  <c r="K89" i="15" s="1"/>
  <c r="K91" i="15" a="1"/>
  <c r="K91" i="15" s="1"/>
  <c r="K93" i="15" a="1"/>
  <c r="K93" i="15" s="1"/>
  <c r="K95" i="15" a="1"/>
  <c r="K95" i="15" s="1"/>
  <c r="K97" i="15" a="1"/>
  <c r="K97" i="15" s="1"/>
  <c r="K99" i="15" a="1"/>
  <c r="K99" i="15" s="1"/>
  <c r="K101" i="15" a="1"/>
  <c r="K101" i="15" s="1"/>
  <c r="K103" i="15" a="1"/>
  <c r="K103" i="15" s="1"/>
  <c r="K105" i="15" a="1"/>
  <c r="K105" i="15" s="1"/>
  <c r="K107" i="15" a="1"/>
  <c r="K107" i="15" s="1"/>
  <c r="K109" i="15" a="1"/>
  <c r="K109" i="15" s="1"/>
  <c r="K112" i="15" a="1"/>
  <c r="K112" i="15" s="1"/>
  <c r="K114" i="15" a="1"/>
  <c r="K114" i="15" s="1"/>
  <c r="K116" i="15" a="1"/>
  <c r="K116" i="15" s="1"/>
  <c r="K118" i="15" a="1"/>
  <c r="K118" i="15" s="1"/>
  <c r="K120" i="15" a="1"/>
  <c r="K120" i="15" s="1"/>
  <c r="K122" i="15" a="1"/>
  <c r="K122" i="15" s="1"/>
  <c r="K124" i="15" a="1"/>
  <c r="K124" i="15" s="1"/>
  <c r="K143" i="15" a="1"/>
  <c r="K143" i="15" s="1"/>
  <c r="K141" i="15" a="1"/>
  <c r="K141" i="15" s="1"/>
  <c r="K139" i="15" a="1"/>
  <c r="K139" i="15" s="1"/>
  <c r="K137" i="15" a="1"/>
  <c r="K137" i="15" s="1"/>
  <c r="K134" i="15" a="1"/>
  <c r="K134" i="15" s="1"/>
  <c r="K132" i="15" a="1"/>
  <c r="K132" i="15" s="1"/>
  <c r="K130" i="15" a="1"/>
  <c r="K130" i="15" s="1"/>
  <c r="K128" i="15" a="1"/>
  <c r="K128" i="15" s="1"/>
  <c r="K126" i="15" a="1"/>
  <c r="K126" i="15" s="1"/>
  <c r="K85" i="15" a="1"/>
  <c r="K85" i="15" s="1"/>
  <c r="K86" i="15" a="1"/>
  <c r="K86" i="15" s="1"/>
  <c r="K88" i="15" a="1"/>
  <c r="K88" i="15" s="1"/>
  <c r="K90" i="15" a="1"/>
  <c r="K90" i="15" s="1"/>
  <c r="K92" i="15" a="1"/>
  <c r="K92" i="15" s="1"/>
  <c r="K94" i="15" a="1"/>
  <c r="K94" i="15" s="1"/>
  <c r="K96" i="15" a="1"/>
  <c r="K96" i="15" s="1"/>
  <c r="K98" i="15" a="1"/>
  <c r="K98" i="15" s="1"/>
  <c r="K100" i="15" a="1"/>
  <c r="K100" i="15" s="1"/>
  <c r="K102" i="15" a="1"/>
  <c r="K102" i="15" s="1"/>
  <c r="K104" i="15" a="1"/>
  <c r="K104" i="15" s="1"/>
  <c r="K106" i="15" a="1"/>
  <c r="K106" i="15" s="1"/>
  <c r="K108" i="15" a="1"/>
  <c r="K108" i="15" s="1"/>
  <c r="K110" i="15" a="1"/>
  <c r="K110" i="15" s="1"/>
  <c r="K111" i="15" a="1"/>
  <c r="K111" i="15" s="1"/>
  <c r="K113" i="15" a="1"/>
  <c r="K113" i="15" s="1"/>
  <c r="K115" i="15" a="1"/>
  <c r="K115" i="15" s="1"/>
  <c r="K117" i="15" a="1"/>
  <c r="K117" i="15" s="1"/>
  <c r="K119" i="15" a="1"/>
  <c r="K119" i="15" s="1"/>
  <c r="K121" i="15" a="1"/>
  <c r="K121" i="15" s="1"/>
  <c r="K123" i="15" a="1"/>
  <c r="K123" i="15" s="1"/>
  <c r="K125" i="15" a="1"/>
  <c r="K125" i="15" s="1"/>
  <c r="K127" i="15" a="1"/>
  <c r="K127" i="15" s="1"/>
  <c r="K129" i="15" a="1"/>
  <c r="K129" i="15" s="1"/>
  <c r="K131" i="15" a="1"/>
  <c r="K131" i="15" s="1"/>
  <c r="K133" i="15" a="1"/>
  <c r="K133" i="15" s="1"/>
  <c r="K135" i="15" a="1"/>
  <c r="K135" i="15" s="1"/>
  <c r="K136" i="15" a="1"/>
  <c r="K136" i="15" s="1"/>
  <c r="K138" i="15" a="1"/>
  <c r="K138" i="15" s="1"/>
  <c r="K140" i="15" a="1"/>
  <c r="K140" i="15" s="1"/>
  <c r="K142" i="15" a="1"/>
  <c r="K142" i="15" s="1"/>
  <c r="K144" i="15" a="1"/>
  <c r="K144" i="15" s="1"/>
  <c r="J102" i="1"/>
  <c r="L102" i="1"/>
  <c r="J101" i="1"/>
  <c r="L101" i="1"/>
  <c r="P97" i="1"/>
  <c r="J99" i="1"/>
  <c r="J100" i="1"/>
  <c r="L99" i="1"/>
  <c r="L100" i="1"/>
  <c r="J98" i="1"/>
  <c r="L98" i="1"/>
  <c r="J78" i="1"/>
  <c r="L78" i="1"/>
  <c r="J86" i="1"/>
  <c r="L86" i="1"/>
  <c r="J95" i="1"/>
  <c r="L95" i="1"/>
  <c r="J91" i="1"/>
  <c r="L91" i="1"/>
  <c r="J85" i="1"/>
  <c r="L85" i="1"/>
  <c r="J96" i="1"/>
  <c r="J94" i="1"/>
  <c r="J93" i="1"/>
  <c r="J92" i="1"/>
  <c r="J90" i="1"/>
  <c r="J89" i="1"/>
  <c r="J88" i="1"/>
  <c r="J87" i="1"/>
  <c r="J84" i="1"/>
  <c r="J83" i="1"/>
  <c r="J82" i="1"/>
  <c r="J81" i="1"/>
  <c r="J80" i="1"/>
  <c r="J79" i="1"/>
  <c r="J77" i="1"/>
  <c r="J76" i="1"/>
  <c r="J75" i="1"/>
  <c r="J74" i="1"/>
  <c r="J73" i="1"/>
  <c r="J72" i="1"/>
  <c r="J71" i="1"/>
  <c r="J70" i="1"/>
  <c r="J20" i="1"/>
  <c r="L20" i="1"/>
  <c r="L70" i="1"/>
  <c r="L71" i="1"/>
  <c r="P71" i="1" s="1"/>
  <c r="L72" i="1"/>
  <c r="L73" i="1"/>
  <c r="L74" i="1"/>
  <c r="L75" i="1"/>
  <c r="L76" i="1"/>
  <c r="L77" i="1"/>
  <c r="L79" i="1"/>
  <c r="L80" i="1"/>
  <c r="L81" i="1"/>
  <c r="L82" i="1"/>
  <c r="L83" i="1"/>
  <c r="L84" i="1"/>
  <c r="L87" i="1"/>
  <c r="L88" i="1"/>
  <c r="L89" i="1"/>
  <c r="L90" i="1"/>
  <c r="L92" i="1"/>
  <c r="L93" i="1"/>
  <c r="L94" i="1"/>
  <c r="L96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2" i="1"/>
  <c r="J8" i="1"/>
  <c r="L8" i="1"/>
  <c r="J69" i="1"/>
  <c r="L69" i="1"/>
  <c r="J68" i="1"/>
  <c r="L68" i="1"/>
  <c r="J56" i="1"/>
  <c r="L56" i="1"/>
  <c r="J60" i="1"/>
  <c r="L60" i="1"/>
  <c r="L61" i="1"/>
  <c r="P61" i="1" s="1"/>
  <c r="J58" i="1"/>
  <c r="L58" i="1"/>
  <c r="J57" i="1"/>
  <c r="L57" i="1"/>
  <c r="J49" i="1"/>
  <c r="L49" i="1"/>
  <c r="J44" i="1"/>
  <c r="L44" i="1"/>
  <c r="J43" i="1"/>
  <c r="L43" i="1"/>
  <c r="L67" i="1"/>
  <c r="L66" i="1"/>
  <c r="L65" i="1"/>
  <c r="L64" i="1"/>
  <c r="L63" i="1"/>
  <c r="L62" i="1"/>
  <c r="L59" i="1"/>
  <c r="L55" i="1"/>
  <c r="L54" i="1"/>
  <c r="L53" i="1"/>
  <c r="L52" i="1"/>
  <c r="L51" i="1"/>
  <c r="L50" i="1"/>
  <c r="L48" i="1"/>
  <c r="L47" i="1"/>
  <c r="L46" i="1"/>
  <c r="L45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J67" i="1"/>
  <c r="J66" i="1"/>
  <c r="J65" i="1"/>
  <c r="J64" i="1"/>
  <c r="J63" i="1"/>
  <c r="J62" i="1"/>
  <c r="J59" i="1"/>
  <c r="J55" i="1"/>
  <c r="J54" i="1"/>
  <c r="J53" i="1"/>
  <c r="J52" i="1"/>
  <c r="J51" i="1"/>
  <c r="J50" i="1"/>
  <c r="J48" i="1"/>
  <c r="J47" i="1"/>
  <c r="J46" i="1"/>
  <c r="J45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19" i="1"/>
  <c r="J18" i="1"/>
  <c r="J17" i="1"/>
  <c r="J16" i="1"/>
  <c r="J15" i="1"/>
  <c r="J14" i="1"/>
  <c r="J13" i="1"/>
  <c r="J12" i="1"/>
  <c r="J11" i="1"/>
  <c r="J10" i="1"/>
  <c r="J9" i="1"/>
  <c r="J7" i="1"/>
  <c r="J6" i="1"/>
  <c r="J5" i="1"/>
  <c r="J4" i="1"/>
  <c r="J3" i="1"/>
  <c r="J2" i="1"/>
  <c r="P13" i="1" l="1"/>
  <c r="P15" i="1"/>
  <c r="P82" i="1"/>
  <c r="P81" i="1"/>
  <c r="P83" i="1"/>
  <c r="P99" i="1"/>
  <c r="P100" i="1"/>
  <c r="P98" i="1"/>
  <c r="P16" i="1"/>
  <c r="P17" i="1"/>
  <c r="P45" i="1"/>
  <c r="P42" i="1"/>
  <c r="P41" i="1"/>
  <c r="P40" i="1"/>
  <c r="P39" i="1"/>
  <c r="P102" i="1"/>
  <c r="P101" i="1"/>
  <c r="P14" i="1"/>
  <c r="P70" i="1"/>
  <c r="P78" i="1"/>
  <c r="P86" i="1"/>
  <c r="P80" i="1"/>
  <c r="P72" i="1"/>
  <c r="P73" i="1"/>
  <c r="P96" i="1"/>
  <c r="P84" i="1"/>
  <c r="P23" i="1"/>
  <c r="P22" i="1"/>
  <c r="P25" i="1"/>
  <c r="P38" i="1"/>
  <c r="P37" i="1"/>
  <c r="P36" i="1"/>
  <c r="P35" i="1"/>
  <c r="P34" i="1"/>
  <c r="P33" i="1"/>
  <c r="P32" i="1"/>
  <c r="P31" i="1"/>
  <c r="P29" i="1"/>
  <c r="P28" i="1"/>
  <c r="P27" i="1"/>
  <c r="P26" i="1"/>
  <c r="P95" i="1"/>
  <c r="P92" i="1"/>
  <c r="P93" i="1"/>
  <c r="P94" i="1"/>
  <c r="P74" i="1"/>
  <c r="P75" i="1"/>
  <c r="P76" i="1"/>
  <c r="P77" i="1"/>
  <c r="P79" i="1"/>
  <c r="P87" i="1"/>
  <c r="P88" i="1"/>
  <c r="P89" i="1"/>
  <c r="P90" i="1"/>
  <c r="P24" i="1"/>
  <c r="P91" i="1"/>
  <c r="P85" i="1"/>
  <c r="P46" i="1"/>
  <c r="P30" i="1"/>
  <c r="P20" i="1"/>
  <c r="P19" i="1"/>
  <c r="P18" i="1"/>
  <c r="P4" i="1"/>
  <c r="P3" i="1"/>
  <c r="P12" i="1"/>
  <c r="P2" i="1"/>
  <c r="P5" i="1"/>
  <c r="P6" i="1"/>
  <c r="P11" i="1"/>
  <c r="P10" i="1"/>
  <c r="P9" i="1"/>
  <c r="P7" i="1"/>
  <c r="P47" i="1"/>
  <c r="P8" i="1"/>
  <c r="P48" i="1"/>
  <c r="P69" i="1"/>
  <c r="P68" i="1"/>
  <c r="P60" i="1"/>
  <c r="P50" i="1"/>
  <c r="P56" i="1"/>
  <c r="P58" i="1"/>
  <c r="P57" i="1"/>
  <c r="P49" i="1"/>
  <c r="P44" i="1"/>
  <c r="P43" i="1"/>
  <c r="P51" i="1"/>
  <c r="P66" i="1"/>
  <c r="P64" i="1"/>
  <c r="P63" i="1"/>
  <c r="P55" i="1"/>
  <c r="P54" i="1"/>
  <c r="P52" i="1"/>
  <c r="P65" i="1"/>
  <c r="P59" i="1"/>
  <c r="P53" i="1"/>
  <c r="P62" i="1"/>
  <c r="P6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<sst xmlns="http://schemas.openxmlformats.org/spreadsheetml/2006/main" count="6935" uniqueCount="644">
  <si>
    <t>Person</t>
  </si>
  <si>
    <t>Account</t>
  </si>
  <si>
    <t>Trade Date</t>
  </si>
  <si>
    <t>ISIN</t>
  </si>
  <si>
    <t>Security</t>
  </si>
  <si>
    <t>Segment</t>
  </si>
  <si>
    <t>Action</t>
  </si>
  <si>
    <t>Quantity</t>
  </si>
  <si>
    <t>Price/Share</t>
  </si>
  <si>
    <t>Net Amount</t>
  </si>
  <si>
    <t>BrokeragePerUnit</t>
  </si>
  <si>
    <t>NetBrokerage</t>
  </si>
  <si>
    <t>GST</t>
  </si>
  <si>
    <t>Total Amount</t>
  </si>
  <si>
    <t>Arun Venkatesan</t>
  </si>
  <si>
    <t>ICICI</t>
  </si>
  <si>
    <t>INE090A01021</t>
  </si>
  <si>
    <t>ICICI BANK LTD.</t>
  </si>
  <si>
    <t>Buy</t>
  </si>
  <si>
    <t>INE040A01034</t>
  </si>
  <si>
    <t>HDFC BANK LTD</t>
  </si>
  <si>
    <t>INE562A01011</t>
  </si>
  <si>
    <t>INDIAN BANK</t>
  </si>
  <si>
    <t>INE848E01016</t>
  </si>
  <si>
    <t>NHPC LTD</t>
  </si>
  <si>
    <t>Sell</t>
  </si>
  <si>
    <t>INE549K07824</t>
  </si>
  <si>
    <t>NCD</t>
  </si>
  <si>
    <t>IIFL</t>
  </si>
  <si>
    <t>Tata Steel</t>
  </si>
  <si>
    <t>CASH</t>
  </si>
  <si>
    <t>BUY</t>
  </si>
  <si>
    <t>INFY</t>
  </si>
  <si>
    <t>SAIL</t>
  </si>
  <si>
    <t xml:space="preserve"> INE003A01024</t>
  </si>
  <si>
    <t>SIEMENS</t>
  </si>
  <si>
    <t xml:space="preserve">INE323A01026 </t>
  </si>
  <si>
    <t>BOSCHLTD</t>
  </si>
  <si>
    <t>INE498L01015</t>
  </si>
  <si>
    <t xml:space="preserve"> INE018A01030 </t>
  </si>
  <si>
    <t xml:space="preserve"> INE155A01022 </t>
  </si>
  <si>
    <t>TATAMOTORS</t>
  </si>
  <si>
    <t xml:space="preserve"> INE335K01011 </t>
  </si>
  <si>
    <t>COFFEEDAY</t>
  </si>
  <si>
    <t>INE053A01029</t>
  </si>
  <si>
    <t>INDHOTEL</t>
  </si>
  <si>
    <t xml:space="preserve"> INE457A01014 </t>
  </si>
  <si>
    <t>MAHABANK</t>
  </si>
  <si>
    <t xml:space="preserve">INE335Y01012 </t>
  </si>
  <si>
    <t>IRCTC</t>
  </si>
  <si>
    <t>INE009A01021</t>
  </si>
  <si>
    <t>INE457A01014</t>
  </si>
  <si>
    <t>INE335K01011</t>
  </si>
  <si>
    <t>INE018A01030</t>
  </si>
  <si>
    <t>L&amp;T FINANCE LTD</t>
  </si>
  <si>
    <t>L &amp; T LTD</t>
  </si>
  <si>
    <t>INE081A01012</t>
  </si>
  <si>
    <t>DIVIDEND</t>
  </si>
  <si>
    <t>Bonus</t>
  </si>
  <si>
    <t>SPLIT</t>
  </si>
  <si>
    <t>Split</t>
  </si>
  <si>
    <t>Rights</t>
  </si>
  <si>
    <t>INE081A01020</t>
  </si>
  <si>
    <t>INE335Y01020</t>
  </si>
  <si>
    <t>INE1NPP01017</t>
  </si>
  <si>
    <t>SIEMENS ENERGY</t>
  </si>
  <si>
    <t>Tata Motors Commercial Vehicles</t>
  </si>
  <si>
    <t>INE1TAE01010</t>
  </si>
  <si>
    <t>INE114A01011</t>
  </si>
  <si>
    <t xml:space="preserve">INE925R01014 </t>
  </si>
  <si>
    <t>CMS INFO SYSTEMS LIMITED</t>
  </si>
  <si>
    <t>IPO</t>
  </si>
  <si>
    <t>STT</t>
  </si>
  <si>
    <t>Stamp Duty</t>
  </si>
  <si>
    <t>Id</t>
  </si>
  <si>
    <t>Name</t>
  </si>
  <si>
    <t>DisplayName</t>
  </si>
  <si>
    <t>Dob</t>
  </si>
  <si>
    <t>GenderId</t>
  </si>
  <si>
    <t>IsFamilyHead</t>
  </si>
  <si>
    <t>FamilyHead</t>
  </si>
  <si>
    <t>Arun</t>
  </si>
  <si>
    <t>Kurinji Malar Paranthaman</t>
  </si>
  <si>
    <t>Kurinji</t>
  </si>
  <si>
    <t>Date</t>
  </si>
  <si>
    <t>Transaction ID</t>
  </si>
  <si>
    <t>Transaction Type</t>
  </si>
  <si>
    <t>Fund Name</t>
  </si>
  <si>
    <t>Scheme Name</t>
  </si>
  <si>
    <t>Folio No</t>
  </si>
  <si>
    <t>Last recorded NAV</t>
  </si>
  <si>
    <t>Last recorded NAV On</t>
  </si>
  <si>
    <t>Div-Reinvestment</t>
  </si>
  <si>
    <t>Amount</t>
  </si>
  <si>
    <t>Secure Mind Premium Amount</t>
  </si>
  <si>
    <t>Unit</t>
  </si>
  <si>
    <t>Status</t>
  </si>
  <si>
    <t>Tax Saving</t>
  </si>
  <si>
    <t>Channel</t>
  </si>
  <si>
    <t>Purchase</t>
  </si>
  <si>
    <t>ADITYA BIRLA SUN LIFE ASSET MANAGEMENT COMPANY LTD</t>
  </si>
  <si>
    <t>ADITYA BIRLA SUN LIFE ELSS TAX SAVER FUND - IDCW</t>
  </si>
  <si>
    <t>N</t>
  </si>
  <si>
    <t>Executed</t>
  </si>
  <si>
    <t>Tax Receipt</t>
  </si>
  <si>
    <t>Web</t>
  </si>
  <si>
    <t>HDFC ASSET MANAGEMENT COMPANY LIMITED</t>
  </si>
  <si>
    <t>HDFC Balanced Advantage Fund - Regular Plan - IDCW</t>
  </si>
  <si>
    <t>16747427/33</t>
  </si>
  <si>
    <t>Y</t>
  </si>
  <si>
    <t>ICICI PRUDENTIAL MUTUAL FUND</t>
  </si>
  <si>
    <t>ICICI Prudential Midcap Fund - Growth</t>
  </si>
  <si>
    <t>15070068/41</t>
  </si>
  <si>
    <t>SYS</t>
  </si>
  <si>
    <t>HSBC ASSET MANAGEMENT INDIA PVT Ltd</t>
  </si>
  <si>
    <t>HSBC Midcap Fund Growth</t>
  </si>
  <si>
    <t>5572421/08</t>
  </si>
  <si>
    <t>AXIS ASSET MANAGEMENT COMPANY LIMITED</t>
  </si>
  <si>
    <t>Axis Midcap Fund - Growth</t>
  </si>
  <si>
    <t>Purchase-SIP</t>
  </si>
  <si>
    <t>ICICI Prudential Multi-Asset Fund - IDCW</t>
  </si>
  <si>
    <t>AXIS LARGE CAP FUND - Growth</t>
  </si>
  <si>
    <t>HSBC Midcap Fund IDCW</t>
  </si>
  <si>
    <t>Aditya Birla Sun Life Savings Fund - Growth</t>
  </si>
  <si>
    <t>Redemption</t>
  </si>
  <si>
    <t>Rejected</t>
  </si>
  <si>
    <t>MIRAE ASSET GLOBAL INVESTMENT MGMT INDIA P LTD</t>
  </si>
  <si>
    <t>MIRAE ASSET ESG SECTOR LEADERS ETF - REGULAR GROWTH</t>
  </si>
  <si>
    <t>ICICI Prudential Esg Exclusionary Strategy Fund Growth</t>
  </si>
  <si>
    <t>Cancelled</t>
  </si>
  <si>
    <t>TO</t>
  </si>
  <si>
    <t>ICICI Prudential Flexicap Fund Growth</t>
  </si>
  <si>
    <t>SYS/DBC</t>
  </si>
  <si>
    <t>HDFC Defence Fund Regular Plan Growth</t>
  </si>
  <si>
    <t>22394108/70</t>
  </si>
  <si>
    <t>CNT</t>
  </si>
  <si>
    <t>INE092T01019</t>
  </si>
  <si>
    <t>IDFC FIRST BANK LIMITED</t>
  </si>
  <si>
    <t>INE238A01034</t>
  </si>
  <si>
    <t>AXIS BANK LIMITED</t>
  </si>
  <si>
    <t>INE040H01021</t>
  </si>
  <si>
    <t>INE129A01019</t>
  </si>
  <si>
    <t>GAIL (INDIA) LTD</t>
  </si>
  <si>
    <t>INE0KL801015</t>
  </si>
  <si>
    <t>DCX SYSTEMS LIMITED</t>
  </si>
  <si>
    <t>INE155A01022</t>
  </si>
  <si>
    <t>TATA MOTORS LIMITED</t>
  </si>
  <si>
    <t>SUZLON ENERGY LIMITED</t>
  </si>
  <si>
    <t>INE0LXG01040</t>
  </si>
  <si>
    <t>OLA ELECTRIC MOBILITY LTD</t>
  </si>
  <si>
    <t>INE351F01018</t>
  </si>
  <si>
    <t xml:space="preserve">JAIPRAKASH POWER VEN. LTD </t>
  </si>
  <si>
    <t>BOSCH LIMITED</t>
  </si>
  <si>
    <t>HDFC BANK LIMITED</t>
  </si>
  <si>
    <t>ITC LIMITED</t>
  </si>
  <si>
    <t>GEOJIT</t>
  </si>
  <si>
    <t>INE154A01025</t>
  </si>
  <si>
    <t>INE323A01026</t>
  </si>
  <si>
    <t>ITC Hotels Limited</t>
  </si>
  <si>
    <t>INE379A01028</t>
  </si>
  <si>
    <t>People</t>
  </si>
  <si>
    <t>Record Date</t>
  </si>
  <si>
    <t>Stock</t>
  </si>
  <si>
    <t>Nature</t>
  </si>
  <si>
    <t>Per Share</t>
  </si>
  <si>
    <t>Ratio</t>
  </si>
  <si>
    <t>Dividend Amount</t>
  </si>
  <si>
    <t>Total Units</t>
  </si>
  <si>
    <t>TaxOnDividend</t>
  </si>
  <si>
    <t>FinalAmount</t>
  </si>
  <si>
    <t>Larsen &amp; Tubro</t>
  </si>
  <si>
    <t>L&amp;T Finance</t>
  </si>
  <si>
    <t>Steel Authority of India</t>
  </si>
  <si>
    <t>Infosys</t>
  </si>
  <si>
    <t>Bosch Limited</t>
  </si>
  <si>
    <t>Siemens</t>
  </si>
  <si>
    <t xml:space="preserve">INE040A01034 </t>
  </si>
  <si>
    <t xml:space="preserve">Yearly Dividend </t>
  </si>
  <si>
    <t>ICICI Bank Limited</t>
  </si>
  <si>
    <t xml:space="preserve">INE090A01021 </t>
  </si>
  <si>
    <t>Indian Bank</t>
  </si>
  <si>
    <t>Bank of Maharastra</t>
  </si>
  <si>
    <t>CMS Info Systems Limited</t>
  </si>
  <si>
    <t>Yearly Dividend</t>
  </si>
  <si>
    <t>INE925R01014</t>
  </si>
  <si>
    <t>ICICI BANK LIMITED</t>
  </si>
  <si>
    <t>Interim Dividend</t>
  </si>
  <si>
    <t>Final Dividend</t>
  </si>
  <si>
    <t>1:1</t>
  </si>
  <si>
    <t>GEOGIT</t>
  </si>
  <si>
    <t>ITC Limited</t>
  </si>
  <si>
    <t>GAIL (INDIA) LIMITED</t>
  </si>
  <si>
    <t>Tata Motors</t>
  </si>
  <si>
    <t>IDFC FIRST Bank Limited</t>
  </si>
  <si>
    <t>AMC Name</t>
  </si>
  <si>
    <t>Dividend Per Unit(Rs./Unit)</t>
  </si>
  <si>
    <t>NAV as on Record Date</t>
  </si>
  <si>
    <t>Gross Amount(rs.)</t>
  </si>
  <si>
    <t>Units</t>
  </si>
  <si>
    <t>Dividend Type</t>
  </si>
  <si>
    <t>DP</t>
  </si>
  <si>
    <t>DR</t>
  </si>
  <si>
    <t>L&amp;T ASSET MANAGEMENT COMPANY</t>
  </si>
  <si>
    <t>LNT Mid Cap Fund-Regular Plan-IDCW</t>
  </si>
  <si>
    <t xml:space="preserve">Person </t>
  </si>
  <si>
    <t xml:space="preserve"> Missing Date</t>
  </si>
  <si>
    <t>HDFC Business Cycle Fund Regular IDCW</t>
  </si>
  <si>
    <t>19582098/10</t>
  </si>
  <si>
    <t>5992273/94</t>
  </si>
  <si>
    <t>ICICI Prudential Midcap Fund - IDCW</t>
  </si>
  <si>
    <t>22662151/71</t>
  </si>
  <si>
    <t>ICICI Prudential Balanced Advantage Fund - IDCW</t>
  </si>
  <si>
    <t>NAVI MUTUAL FUND</t>
  </si>
  <si>
    <t>Navi Nifty 50 Index Fund Regular Plan Growth</t>
  </si>
  <si>
    <t>FRANKLIN TEMPLETON  MUTUAL FUND</t>
  </si>
  <si>
    <t>Franklin India Small Cap Fund-Growth</t>
  </si>
  <si>
    <t>Policy No</t>
  </si>
  <si>
    <t>Agency Code</t>
  </si>
  <si>
    <t>Premium Due Date</t>
  </si>
  <si>
    <t>Paid on</t>
  </si>
  <si>
    <t>Transaction No</t>
  </si>
  <si>
    <t>Premium Amount</t>
  </si>
  <si>
    <t>Late Fee</t>
  </si>
  <si>
    <t>Benefit Amount</t>
  </si>
  <si>
    <t>Contribution</t>
  </si>
  <si>
    <t>PR0227127800011011</t>
  </si>
  <si>
    <t>PR0315311800011011</t>
  </si>
  <si>
    <t>PR0627595700011112</t>
  </si>
  <si>
    <t>Benefit</t>
  </si>
  <si>
    <t>PR1024166300011112</t>
  </si>
  <si>
    <t>PR0376500200011213</t>
  </si>
  <si>
    <t>PR0828455100011213</t>
  </si>
  <si>
    <t>PR0320070200011314</t>
  </si>
  <si>
    <t>PR0911831300011314</t>
  </si>
  <si>
    <t>PR0337184600011415</t>
  </si>
  <si>
    <t>PR1003477000011415</t>
  </si>
  <si>
    <t>PR0441696100011516</t>
  </si>
  <si>
    <t>PR1663506300011516</t>
  </si>
  <si>
    <t>PR0837513400011617</t>
  </si>
  <si>
    <t>PR0609717600011718</t>
  </si>
  <si>
    <t>PR1925027500011718</t>
  </si>
  <si>
    <t>PR0768348500011819</t>
  </si>
  <si>
    <t>PR1972146800011819</t>
  </si>
  <si>
    <t>PR0741573300011920</t>
  </si>
  <si>
    <t>PR2321735300011920</t>
  </si>
  <si>
    <t>PR3626845100012021</t>
  </si>
  <si>
    <t>PR0795036300012122</t>
  </si>
  <si>
    <t>PR3422682700012122</t>
  </si>
  <si>
    <t>PR1240784700012223</t>
  </si>
  <si>
    <t>PR3191769100012223</t>
  </si>
  <si>
    <t>PR1317778600012324</t>
  </si>
  <si>
    <t>PR3161970100012324</t>
  </si>
  <si>
    <t>PR6323470200012425</t>
  </si>
  <si>
    <t>PR2528478300012526</t>
  </si>
  <si>
    <t>Establishment Name</t>
  </si>
  <si>
    <t>Member ID</t>
  </si>
  <si>
    <t>UAN</t>
  </si>
  <si>
    <t>Year</t>
  </si>
  <si>
    <t>Type</t>
  </si>
  <si>
    <t>Particulars</t>
  </si>
  <si>
    <t>Wages</t>
  </si>
  <si>
    <t>TRANSUNION GLOBAL TECHNOLOGY CENTER LLP</t>
  </si>
  <si>
    <t>MHBAN16615080000010666</t>
  </si>
  <si>
    <t>Cont. For Due-Month 122019</t>
  </si>
  <si>
    <t>Cont. For Due-Month 012020</t>
  </si>
  <si>
    <t>Cont. For Due-Month 022020</t>
  </si>
  <si>
    <t>Cont. For Due-Month 032020</t>
  </si>
  <si>
    <t>Interest</t>
  </si>
  <si>
    <t>Interest Updated</t>
  </si>
  <si>
    <t>Closing Balance</t>
  </si>
  <si>
    <t>Cont. For Due-Month 042020</t>
  </si>
  <si>
    <t>Cont. For Due-Month 052020</t>
  </si>
  <si>
    <t>Cont. For Due-Month 062020</t>
  </si>
  <si>
    <t>Cont. For Due-Month 072020</t>
  </si>
  <si>
    <t>Cont. For Due-Month 082020</t>
  </si>
  <si>
    <t>Cont. For Due-Month 092020</t>
  </si>
  <si>
    <t>Cont. For Due-Month 102020</t>
  </si>
  <si>
    <t>Cont. For Due-Month 112020</t>
  </si>
  <si>
    <t>Cont. For Due-Month 122020</t>
  </si>
  <si>
    <t>Cont. For Due-Month 012021</t>
  </si>
  <si>
    <t>Cont. For Due-Month 022021</t>
  </si>
  <si>
    <t>Cont. For Due-Month 032021</t>
  </si>
  <si>
    <t>Cont. For Due-Month 042021</t>
  </si>
  <si>
    <t>Cont. For Due-Month 052021</t>
  </si>
  <si>
    <t>Cont. For Due-Month 062021</t>
  </si>
  <si>
    <t>Cont. For Due-Month 072021</t>
  </si>
  <si>
    <t>Cont. For Due-Month 082021</t>
  </si>
  <si>
    <t>Cont. For Due-Month 092021</t>
  </si>
  <si>
    <t>Cont. For Due-Month 102021</t>
  </si>
  <si>
    <t>Cont. For Due-Month 112021</t>
  </si>
  <si>
    <t>Cont. For Due-Month 122021</t>
  </si>
  <si>
    <t>Cont. For Due-Month 012022</t>
  </si>
  <si>
    <t>Cont. For Due-Month 022022</t>
  </si>
  <si>
    <t>Cont. For Due-Month 032022</t>
  </si>
  <si>
    <t>Cont. For Due-Month 042022</t>
  </si>
  <si>
    <t>Cont. For Due-Month 052022</t>
  </si>
  <si>
    <t>Cont. For Due-Month 062022</t>
  </si>
  <si>
    <t>Cont. For Due-Month 072022</t>
  </si>
  <si>
    <t>Cont. For Due-Month 082022</t>
  </si>
  <si>
    <t>Cont. For Due-Month 092022</t>
  </si>
  <si>
    <t>Cont. For Due-Month 102022</t>
  </si>
  <si>
    <t>Cont. For Due-Month 112022</t>
  </si>
  <si>
    <t>Cont. For Due-Month 122022</t>
  </si>
  <si>
    <t>Cont. For Due-Month 012023</t>
  </si>
  <si>
    <t>Cont. For Due-Month 022023</t>
  </si>
  <si>
    <t>Cont. For Due-Month 032023</t>
  </si>
  <si>
    <t>Cont. For Due-Month 042023</t>
  </si>
  <si>
    <t>Cont. For Due-Month 052023</t>
  </si>
  <si>
    <t>Cont. For Due-Month 062023</t>
  </si>
  <si>
    <t>Cont. For Due-Month 072023</t>
  </si>
  <si>
    <t>Cont. For Due-Month 082023</t>
  </si>
  <si>
    <t>Cont. For Due-Month 092023</t>
  </si>
  <si>
    <t>Cont. For Due-Month 102023</t>
  </si>
  <si>
    <t>Cont. For Due-Month 112023</t>
  </si>
  <si>
    <t>Cont. For Due-Month 122023</t>
  </si>
  <si>
    <t>Cont. For Due-Month 012024</t>
  </si>
  <si>
    <t>Cont. For Due-Month 022024</t>
  </si>
  <si>
    <t>Cont. For Due-Month 032024</t>
  </si>
  <si>
    <t>Cont. For Due-Month 042024</t>
  </si>
  <si>
    <t>Cont. For Due-Month 052024</t>
  </si>
  <si>
    <t>Cont. For Due-Month 062024</t>
  </si>
  <si>
    <t>Cont. For Due-Month 072024</t>
  </si>
  <si>
    <t>Cont. For Due-Month 082024</t>
  </si>
  <si>
    <t>Cont. For Due-Month 092024</t>
  </si>
  <si>
    <t>Cont. For Due-Month 102024</t>
  </si>
  <si>
    <t>Cont. For Due-Month 112024</t>
  </si>
  <si>
    <t>Cont. For Due-Month 122024</t>
  </si>
  <si>
    <t>Cont. For Due-Month 012025</t>
  </si>
  <si>
    <t>Cont. For Due-Month 022025</t>
  </si>
  <si>
    <t>Cont. For Due-Month 032025</t>
  </si>
  <si>
    <t>Cont. For Due-Month 042025</t>
  </si>
  <si>
    <t>Cont. For Due-Month 052025</t>
  </si>
  <si>
    <t>Cont. For Due-Month 062025</t>
  </si>
  <si>
    <t>Cont. For Due-Month 072025</t>
  </si>
  <si>
    <t>Cont. For Due-Month 082025</t>
  </si>
  <si>
    <t>Cont. For Due-Month 092025</t>
  </si>
  <si>
    <t>Cont. For Due-Month 102025</t>
  </si>
  <si>
    <t>PYKRP00355530000062475</t>
  </si>
  <si>
    <t>Cont. For Due-Month 062019</t>
  </si>
  <si>
    <t>Cont. For Due-Month 072019</t>
  </si>
  <si>
    <t>Cont. For Due-Month 082019</t>
  </si>
  <si>
    <t>Cont. For Due-Month 092019</t>
  </si>
  <si>
    <t>Cont. For Due-Month 102019</t>
  </si>
  <si>
    <t>Cont. For Due-Month 112019</t>
  </si>
  <si>
    <t>TNAMB00483530000020685</t>
  </si>
  <si>
    <t>Cont. For Due-Month 072013</t>
  </si>
  <si>
    <t>Cont. For Due-Month 082013</t>
  </si>
  <si>
    <t>Cont. For Due-Month 092013</t>
  </si>
  <si>
    <t>Cont. For Due-Month 102013</t>
  </si>
  <si>
    <t>Cont. For Due-Month 112013</t>
  </si>
  <si>
    <t>Cont. For Due-Month 122013</t>
  </si>
  <si>
    <t>Cont. For Due-Month 012014</t>
  </si>
  <si>
    <t>Cont. For Due-Month 022014</t>
  </si>
  <si>
    <t>Cont. For Due-Month 032014</t>
  </si>
  <si>
    <t>Cont. For Due-Month 042014</t>
  </si>
  <si>
    <t>Cont. For Due-Month 052014</t>
  </si>
  <si>
    <t>Cont. For Due-Month 062014</t>
  </si>
  <si>
    <t>Cont. For Due-Month 072014</t>
  </si>
  <si>
    <t>Cont. For Due-Month 082014</t>
  </si>
  <si>
    <t>Cont. For Due-Month 092014</t>
  </si>
  <si>
    <t>MEDUSIND SOLUTIONS</t>
  </si>
  <si>
    <t>TNMAS00497090000002652</t>
  </si>
  <si>
    <t>Cont. For Due-Month 062015</t>
  </si>
  <si>
    <t>Cont. For Due-Month 072015</t>
  </si>
  <si>
    <t>Cont. For Due-Month 082015</t>
  </si>
  <si>
    <t>Cont. For Due-Month 092015</t>
  </si>
  <si>
    <t>Cont. For Due-Month 102015</t>
  </si>
  <si>
    <t>Cont. For Due-Month 112015</t>
  </si>
  <si>
    <t>Cont. For Due-Month 122015</t>
  </si>
  <si>
    <t>Cont. For Due-Month 012016</t>
  </si>
  <si>
    <t>Cont. For Due-Month 022016</t>
  </si>
  <si>
    <t>Cont. For Due-Month 032016</t>
  </si>
  <si>
    <t>Cont. For Due-Month 042016</t>
  </si>
  <si>
    <t>Cont. For Due-Month 052016</t>
  </si>
  <si>
    <t>Cont. For Due-Month 062016</t>
  </si>
  <si>
    <t>Cont. For Due-Month 072016</t>
  </si>
  <si>
    <t>Cont. For Due-Month 082016</t>
  </si>
  <si>
    <t>Cont. For Due-Month 092016</t>
  </si>
  <si>
    <t>Cont. For Due-Month 102016</t>
  </si>
  <si>
    <t>Cont. For Due-Month 112016</t>
  </si>
  <si>
    <t>Cont. For Due-Month 122016</t>
  </si>
  <si>
    <t>Cont. For Due-Month 012017</t>
  </si>
  <si>
    <t>Cont. For Due-Month 022017</t>
  </si>
  <si>
    <t>Cont. For Due-Month 032017</t>
  </si>
  <si>
    <t>Cont. For Due-Month 042017</t>
  </si>
  <si>
    <t>Cont. For Due-Month 052017</t>
  </si>
  <si>
    <t>Cont. For Due-Month 062017</t>
  </si>
  <si>
    <t>Cont. For Due-Month 072017</t>
  </si>
  <si>
    <t>Cont. For Due-Month 082017</t>
  </si>
  <si>
    <t>Cont. For Due-Month 092017</t>
  </si>
  <si>
    <t>Cont. For Due-Month 102017</t>
  </si>
  <si>
    <t>Cont. For Due-Month 112017</t>
  </si>
  <si>
    <t>Cont. For Due-Month 122017</t>
  </si>
  <si>
    <t>Cont. For Due-Month 012018</t>
  </si>
  <si>
    <t>Cont. For Due-Month 022018</t>
  </si>
  <si>
    <t>Cont. For Due-Month 032018</t>
  </si>
  <si>
    <t>Cont. For Due-Month 042018</t>
  </si>
  <si>
    <t>Cont. For Due-Month 052018</t>
  </si>
  <si>
    <t>Cont. For Due-Month 062018</t>
  </si>
  <si>
    <t>Cont. For Due-Month 072018</t>
  </si>
  <si>
    <t>Cont. For Due-Month 082018</t>
  </si>
  <si>
    <t>Cont. For Due-Month 092018</t>
  </si>
  <si>
    <t>Cont. For Due-Month 102018</t>
  </si>
  <si>
    <t>Cont. For Due-Month 112018</t>
  </si>
  <si>
    <t>Cont. For Due-Month 122018</t>
  </si>
  <si>
    <t>Cont. For Due-Month 012019</t>
  </si>
  <si>
    <t>Cont. For Due-Month 022019</t>
  </si>
  <si>
    <t>Cont. For Due-Month 032019</t>
  </si>
  <si>
    <t>AGS HEALTH PVT LTD</t>
  </si>
  <si>
    <t>TNMAS00838510000003341</t>
  </si>
  <si>
    <t>Cont. For Due-Month 102014</t>
  </si>
  <si>
    <t>Cont. For Due-Month 112014</t>
  </si>
  <si>
    <t>Cont. For Due-Month 122014</t>
  </si>
  <si>
    <t>Cont. For Due-Month 012015</t>
  </si>
  <si>
    <t>Cont. For Due-Month 022015</t>
  </si>
  <si>
    <t>Cont. For Due-Month 032015</t>
  </si>
  <si>
    <t>Cont. For Due-Month 042015</t>
  </si>
  <si>
    <t>Cont. For Due-Month 052015</t>
  </si>
  <si>
    <t>Pension</t>
  </si>
  <si>
    <t>NTT DATA INFORMATION PROCESSING SERVICES PVT LTD</t>
  </si>
  <si>
    <t/>
  </si>
  <si>
    <t>EPF Employee</t>
  </si>
  <si>
    <t>EPF Employer</t>
  </si>
  <si>
    <t>1.00091E+11</t>
  </si>
  <si>
    <t>1.00649E+11</t>
  </si>
  <si>
    <t>OMEGA HEALTHCARE MANAGEMENT SERVICES PVT LTD</t>
  </si>
  <si>
    <t>1.00199E+11</t>
  </si>
  <si>
    <t>1.00564E+11</t>
  </si>
  <si>
    <t>Financial Year</t>
  </si>
  <si>
    <t>FY 2018 - 2019</t>
  </si>
  <si>
    <t>FY 2019 - 2020</t>
  </si>
  <si>
    <t>FY 2020 - 2021</t>
  </si>
  <si>
    <t>FY 2021 - 2022</t>
  </si>
  <si>
    <t>FY2021 - 2022</t>
  </si>
  <si>
    <t>FY2022 - 2023</t>
  </si>
  <si>
    <t>FY2022-2023</t>
  </si>
  <si>
    <t>Aarna Arun</t>
  </si>
  <si>
    <t>Aarna</t>
  </si>
  <si>
    <t>Aadhav Arun</t>
  </si>
  <si>
    <t>Aadhav</t>
  </si>
  <si>
    <t>FY2025-2026</t>
  </si>
  <si>
    <t>Interest paid till 31-MAR-2025</t>
  </si>
  <si>
    <t>SI - From Account- 13041530002729   NET BANKING SI -ForAarnaSSY</t>
  </si>
  <si>
    <t>Company</t>
  </si>
  <si>
    <t>NSE Symbol</t>
  </si>
  <si>
    <t>BSE Code</t>
  </si>
  <si>
    <t>INE003A01024</t>
  </si>
  <si>
    <t>505372</t>
  </si>
  <si>
    <t>500209</t>
  </si>
  <si>
    <t>LT</t>
  </si>
  <si>
    <t>500510</t>
  </si>
  <si>
    <t>HDFCBANK</t>
  </si>
  <si>
    <t>500180</t>
  </si>
  <si>
    <t>SUZLON</t>
  </si>
  <si>
    <t>532667</t>
  </si>
  <si>
    <t>500850</t>
  </si>
  <si>
    <t>TATASTEEL</t>
  </si>
  <si>
    <t>500470</t>
  </si>
  <si>
    <t>ICICIBANK</t>
  </si>
  <si>
    <t>532174</t>
  </si>
  <si>
    <t>IDFCFIRSTB</t>
  </si>
  <si>
    <t>539437</t>
  </si>
  <si>
    <t>DCXINDIA</t>
  </si>
  <si>
    <t>543650</t>
  </si>
  <si>
    <t>OLA</t>
  </si>
  <si>
    <t>500113</t>
  </si>
  <si>
    <t>GAIL</t>
  </si>
  <si>
    <t>532155</t>
  </si>
  <si>
    <t>ITC</t>
  </si>
  <si>
    <t>500875</t>
  </si>
  <si>
    <t>500570</t>
  </si>
  <si>
    <t>ENRIN</t>
  </si>
  <si>
    <t>544390</t>
  </si>
  <si>
    <t>TMPV</t>
  </si>
  <si>
    <t>AXISBANK</t>
  </si>
  <si>
    <t>532215</t>
  </si>
  <si>
    <t>500530</t>
  </si>
  <si>
    <t>539436</t>
  </si>
  <si>
    <t>INE335Y01012</t>
  </si>
  <si>
    <t>542830</t>
  </si>
  <si>
    <t>JPPOWER</t>
  </si>
  <si>
    <t>532627</t>
  </si>
  <si>
    <t>ITCHOTELS</t>
  </si>
  <si>
    <t>544325</t>
  </si>
  <si>
    <t>532525</t>
  </si>
  <si>
    <t>L&amp;TFH</t>
  </si>
  <si>
    <t>533519</t>
  </si>
  <si>
    <t>INDIANB</t>
  </si>
  <si>
    <t>532814</t>
  </si>
  <si>
    <t>NHPC</t>
  </si>
  <si>
    <t>533098</t>
  </si>
  <si>
    <t>CMSINFO</t>
  </si>
  <si>
    <t>543441</t>
  </si>
  <si>
    <t>Larsen &amp; Tubro Ltd</t>
  </si>
  <si>
    <t>HDFC Bank Ltd</t>
  </si>
  <si>
    <t>Suzlon Engergy Ltd</t>
  </si>
  <si>
    <t>ICICI Bank Ltd</t>
  </si>
  <si>
    <t>IDFC First Bank Ltd</t>
  </si>
  <si>
    <t>Axis Bank Ltd</t>
  </si>
  <si>
    <t>Bosch Ltd</t>
  </si>
  <si>
    <t>CMS Info Systems Ltd</t>
  </si>
  <si>
    <t>DCX System Ltd</t>
  </si>
  <si>
    <t>GAIL (INDIA) Ltd</t>
  </si>
  <si>
    <t>Jaiprakash Power Ventures Ltd</t>
  </si>
  <si>
    <t>L&amp;T Finance Ltd</t>
  </si>
  <si>
    <t>OLA Electric Mobility Ltd</t>
  </si>
  <si>
    <t>Tata Motors Ltd</t>
  </si>
  <si>
    <t>Incorporation Date</t>
  </si>
  <si>
    <t>03-Dec-1993</t>
  </si>
  <si>
    <t>Bank of Maharashtra</t>
  </si>
  <si>
    <t>16-Sep-1935</t>
  </si>
  <si>
    <t>12-Nov-1951</t>
  </si>
  <si>
    <t>26-Mar-2008</t>
  </si>
  <si>
    <t>Coffee Day Enterprises Ltd</t>
  </si>
  <si>
    <t>20-Jun-2008</t>
  </si>
  <si>
    <t>16-Dec-2011</t>
  </si>
  <si>
    <t>16-Aug-1984</t>
  </si>
  <si>
    <t>30-Aug-1994</t>
  </si>
  <si>
    <t>05-Jan-1994</t>
  </si>
  <si>
    <t>21-Oct-2014</t>
  </si>
  <si>
    <t>IRCTC Ltd</t>
  </si>
  <si>
    <t>27-Sep-1999</t>
  </si>
  <si>
    <t>ITC Hotels Ltd</t>
  </si>
  <si>
    <t>28-Jul-2023</t>
  </si>
  <si>
    <t>ITC Ltd</t>
  </si>
  <si>
    <t>24-Aug-1910</t>
  </si>
  <si>
    <t>05-Mar-1907</t>
  </si>
  <si>
    <t>Indian Hotels Company Ltd</t>
  </si>
  <si>
    <t>01-Apr-1902</t>
  </si>
  <si>
    <t>Infosys Ltd</t>
  </si>
  <si>
    <t>02-Jul-1981</t>
  </si>
  <si>
    <t>21-Dec-1994</t>
  </si>
  <si>
    <t>01-May-2008</t>
  </si>
  <si>
    <t>07-Feb-1946</t>
  </si>
  <si>
    <t>NHPC Ltd</t>
  </si>
  <si>
    <t>07-Nov-1975</t>
  </si>
  <si>
    <t>544225</t>
  </si>
  <si>
    <t>03-Feb-2017</t>
  </si>
  <si>
    <t>Siemens Energy India Ltd</t>
  </si>
  <si>
    <t>07-Feb-2024</t>
  </si>
  <si>
    <t>Siemens Ltd</t>
  </si>
  <si>
    <t>02-Mar-1957</t>
  </si>
  <si>
    <t>Steel Authority of India Ltd (SAIL)</t>
  </si>
  <si>
    <t>24-Jan-1973</t>
  </si>
  <si>
    <t>10-Apr-1995</t>
  </si>
  <si>
    <t>01-Sep-1945</t>
  </si>
  <si>
    <t>Tata Motors Passenger Vehicles Ltd (TMPV)</t>
  </si>
  <si>
    <t>Tata Steel Ltd</t>
  </si>
  <si>
    <t>26-Aug-1907</t>
  </si>
  <si>
    <t>ISIN Creation Date</t>
  </si>
  <si>
    <t>Contribution Date</t>
  </si>
  <si>
    <t>Account Type</t>
  </si>
  <si>
    <t>Tier-I</t>
  </si>
  <si>
    <t>Tier-II</t>
  </si>
  <si>
    <t>Pran</t>
  </si>
  <si>
    <t>110113329811</t>
  </si>
  <si>
    <t>Gross Contribution Amount</t>
  </si>
  <si>
    <t>Self Contribution</t>
  </si>
  <si>
    <t>Service Charges</t>
  </si>
  <si>
    <t>Net Contribution Amount</t>
  </si>
  <si>
    <t>'110113329811</t>
  </si>
  <si>
    <t>Contribution Amount (Rs.)</t>
  </si>
  <si>
    <t>HDFC PENSION MANAGEMENT COMPANY LIMITED Equity - TIER I</t>
  </si>
  <si>
    <t>HDFC PENSION MANAGEMENT COMPANY LIMITED Corporate Bonds - TIER I</t>
  </si>
  <si>
    <t>HDFC PENSION MANAGEMENT COMPANY LIMITED Government Bond - TIER I</t>
  </si>
  <si>
    <t>HDFC PENSION MANAGEMENT COMPANY LIMITED Corporate Bonds - TIER II</t>
  </si>
  <si>
    <t>HDFC PENSION MANAGEMENT COMPANY LIMITED Government Bond - TIER II</t>
  </si>
  <si>
    <t>HDFC PENSION MANAGEMENT COMPANY LIMITED Equity - TIER II</t>
  </si>
  <si>
    <t>PRAN No</t>
  </si>
  <si>
    <t>Total</t>
  </si>
  <si>
    <t>NAV</t>
  </si>
  <si>
    <t>Current Value</t>
  </si>
  <si>
    <t>Notional Gain/Loss</t>
  </si>
  <si>
    <t>XIRR</t>
  </si>
  <si>
    <t>Scheme</t>
  </si>
  <si>
    <t>Sovereign Gold Bond 2020-21</t>
  </si>
  <si>
    <t>Floating Rate Savings Bonds, 2020</t>
  </si>
  <si>
    <t>Muthoot Fincorp Limited</t>
  </si>
  <si>
    <t>Rate of Interest</t>
  </si>
  <si>
    <t>Marutiry Date</t>
  </si>
  <si>
    <t>NEFT-000302541722-MUTHOOT FINCORP LTD NCD II 7246-</t>
  </si>
  <si>
    <t>NEFT-000310270945-MUTHOOT FINCORP LTD NCD II 7246-</t>
  </si>
  <si>
    <t>NEFT-000317437097-MUTHOOT FINCORP LTD NCD II 7246-</t>
  </si>
  <si>
    <t>NEFT-000324498387-MUTHOOT FINCORP LTD NCD II 7246-</t>
  </si>
  <si>
    <t>NEFT-000333190306-MUTHOOT FINCORP LTD NCD II 7246-</t>
  </si>
  <si>
    <t>NEFT-000340206597-MUTHOOT FINCORP LTD NCD II 7246-</t>
  </si>
  <si>
    <t>NEFT-000346845644-MUTHOOT FINCORP LTD NCD II 7246-</t>
  </si>
  <si>
    <t>NEFT-000352292183-MUTHOOT FINCORP LTD NCD II 7246-</t>
  </si>
  <si>
    <t>NEFT-000356639960-MUTHOOT FINCORP LTD NCD II 7246-</t>
  </si>
  <si>
    <t>NEFT-000360786403-MUTHOOT FINCORP LTD NCD II 7246-</t>
  </si>
  <si>
    <t>NEFT-000364722478-MUTHOOT FINCORP LTD NCD II 7246-</t>
  </si>
  <si>
    <t xml:space="preserve">NEFT-INDBN01114754253-MUTHOOT FINCORP LTD NCD II 7246-N MF7M102104155    ARUN  </t>
  </si>
  <si>
    <t xml:space="preserve">NEFT-INDBN01128379381-MUTHOOT FINCORP LTD NCD II 7246-N MF7M112104150    ARUN  </t>
  </si>
  <si>
    <t xml:space="preserve">NEFT-INDBN01012802390-MUTHOOT FINCORP LTD NCD II 7246-N MF7M122104142    ARUN  </t>
  </si>
  <si>
    <t xml:space="preserve">NEFT-INDBN01026860648-MUTHOOT FINCORP LTD NCD II 7246-N MF7M012204140    ARUN  </t>
  </si>
  <si>
    <t xml:space="preserve">NEFT-INDBN01031165124-MUTHOOT FINCORP LTD NCD II 7246-N MF7M022204136    ARUN  </t>
  </si>
  <si>
    <t>NEFT-INDBN31036644493-MUTHOOT FINCORP LTD NCD II 7246-ICICI BANK LT 00090157980</t>
  </si>
  <si>
    <t>NEFT-INDBN30040812192-MUTHOOT FINCORP LTD NCD II 7246-ICICI BANK LT 00090157980</t>
  </si>
  <si>
    <t>NEFT-INDBN01065251240-MUTHOOT FINCORP LTD NCD II 7246-ICICI BANK LT 00090157980</t>
  </si>
  <si>
    <t>NEFT-INDBN01079607649-MUTHOOT FINCORP LTD NCD II 7246-              00090157980</t>
  </si>
  <si>
    <t>NEFT-INDBN01083905432-MUTHOOT FINCORP LTD NCD II 7246-ICICI BANK LT 00090157980</t>
  </si>
  <si>
    <t>NEFT-INDBN01098265951-MUTHOOT FINCORP LTD NCD II 7246-ICICI BANK LT 00090157980</t>
  </si>
  <si>
    <t>NEFT-INDBN01103083005-MUTHOOT FINCORP LTD NCD II 7246-ICICI BANK LT 00090157980</t>
  </si>
  <si>
    <t>NEFT-INDBN01118079164-MUTHOOT FINCORP LTD NCD II 7246-ICICI BANK LT 00090157980</t>
  </si>
  <si>
    <t>NEFT-INDBN01122969792-MUTHOOT FINCORP LTD NCD II 7246-ICICI BANK LT 00090157980</t>
  </si>
  <si>
    <t>NEFT-INDBN31128046034-MUTHOOT FINCORP LTD NCD II 7246-ICICI BANK LT 00090157980</t>
  </si>
  <si>
    <t>NEFT-INDBN01023028450-MUTHOOT FINCORP LTD NCD II 7246-ICICI BANK LT 000901579808    DIR-20100019344</t>
  </si>
  <si>
    <t>NEFT-INDBN01037798522-MUTHOOT FINCORP LTD NCD II 7246-ICICI BANK LT 000901579808    DIR-20100019344</t>
  </si>
  <si>
    <t>NEFT-INDBN30032624062-MUTHOOT FINCORP LTD NCD II 7246-ICICI BANK LT 000901579808    DIR-20100019344</t>
  </si>
  <si>
    <t>NEFT-INDBN29047134095-MUTHOOT FINCORP LTD NCD II 7246-ICICI BANK LT 000901579808    DIR-20100019344</t>
  </si>
  <si>
    <t>NEFT-INDBN01062227154-MUTHOOT FINCORP LTD NCD II 7246-ICICI BANK LT 000901579808    DIR-20100019344</t>
  </si>
  <si>
    <t>NEFT-INDBN01076883488-MUTHOOT FINCORP LTD NCD II 7246-ICICI BANK LT 000901579808    DIR-20100019344</t>
  </si>
  <si>
    <t>NEFT-INDBN01082054999-MUTHOOT FINCORP LTD NCD II 7246-ICICI BANK LT 000901579808    DIR-20100019344</t>
  </si>
  <si>
    <t>NEFT-INDBN01097335936-MUTHOOT FINCORP LTD NCD II 7246-ICICI BANK LT 000901579808    DIR-20100019344</t>
  </si>
  <si>
    <t>NEFT-INDBN30092379209-MUTHOOT FINCORP LTD NCD II 7246-ICICI BANK LT 000901579808    DIR-20100019344</t>
  </si>
  <si>
    <t>NEFT-INDBN01117862600-MUTHOOT FINCORP LTD NCD II 7246-ICICI BANK LT 000901579808    DIR-20100019344</t>
  </si>
  <si>
    <t>NEFT-INDBN01122939883-MUTHOOT FINCORP LTD NCD II 7246-ICICI BANK LT 000901579808    DIR-20100019344</t>
  </si>
  <si>
    <t>NEFT-INDBN01017946171-MUTHOOT FINCORP LTD NCD II 7246-ICICI BANK LT 000901579808    DIR-20100019344</t>
  </si>
  <si>
    <t>NEFT-INDBN01022841624-MUTHOOT FINCORP LTD NCD II 7246-ICICI BANK LT 000901579808    DIR-20100019344</t>
  </si>
  <si>
    <t>NEFT-INDBN01037863515-MUTHOOT FINCORP LTD NCD II 7246-ICICI BANK LT 000901579808    DIR-20100019344</t>
  </si>
  <si>
    <t>NEFT-INDBN30033100604-MUTHOOT FINCORP LTD NCD II 7246-ICICI BANK LT 000901579808    DIR-20100019344</t>
  </si>
  <si>
    <t>NEFT-INDBN30047819309-MUTHOOT FINCORP LTD NCD II 7246-ICICI BANK LT 000901579808    DIR-20100019344</t>
  </si>
  <si>
    <t>NEFT-INDBN01063089718-MUTHOOT FINCORP LTD NCD II 7246-ICICI BANK LT 000901579808    DIR-20100019344</t>
  </si>
  <si>
    <t>NEFT-INDBN01077485991-MUTHOOT FINCORP LTD NCD II 7246-ICICI BANK LT 000901579808    DIR-20100019344</t>
  </si>
  <si>
    <t>NEFT-INDBN01082047796-MUTHOOT FINCORP LTD NCD II 7246-ICICI BANK LT 000901579808    DIR-20100019344</t>
  </si>
  <si>
    <t>NEFT-INDBN31086156562-MUTHOOT FINCORP LTD NCD II 7246-ICICI BANK LT 000901579808    DIR-20100019344</t>
  </si>
  <si>
    <t>NEFT-INDBN01100761658-MUTHOOT FINCORP LTD NCD II 7246-ICICI BANK LT 000901579808    DIR-20100019344</t>
  </si>
  <si>
    <t>NEFT-INDBN31105872420-MUTHOOT FINCORP LTD NCD II 7246-ICICI BANK LT 000901579808    DIR-20100019344</t>
  </si>
  <si>
    <t>NEFT-INDBN30110005303-MUTHOOT FINCORP LTD NCD II 7246-ICICI BANK LT 000901579808    DIR-20100019344</t>
  </si>
  <si>
    <t>NEFT-INDBN52025010145512919-MUTHOOT FINCORP LTD NCD II 7246-ICICI BANK LT 000901-201000193444-INDB0</t>
  </si>
  <si>
    <t>NEFT-INDBN52025020109224776-MUTHOOT FINCORP LTD NCD II 7246-ICICI BANK LT/000901-201000193444-INDB0</t>
  </si>
  <si>
    <t>NEFT-INDBN52025030103271626-MUTHOOT FINCORP LTD NCD II 7246-ICICI BANK LT/000901-201000193444-INDB0</t>
  </si>
  <si>
    <t>NEFT-INDBN52025032907765346-MUTHOOT FINCORP LTD NCD II 7246-ICICI BANK LT/000901-201000193444-INDB0</t>
  </si>
  <si>
    <t>NEFT-INDBN52025043001869296-MUTHOOT FINCORP LTD NCD II 7246-ICIC0000009  /000901-201000193444-INDB0</t>
  </si>
  <si>
    <t xml:space="preserve">GOI FRSB DEC 20 TBICI007109242                    </t>
  </si>
  <si>
    <t xml:space="preserve">GOI FRSB JUN 21 TBICI007109242                    </t>
  </si>
  <si>
    <t xml:space="preserve">GOI FRSB DEC 21 TBICI007109242                    </t>
  </si>
  <si>
    <t>Int on GOI BOND XXX109242  Tds:0.                 Int:4025 and TAX:0.</t>
  </si>
  <si>
    <t xml:space="preserve">FRSB 7.15 JUN22 TBICI007109242                    </t>
  </si>
  <si>
    <t>FRSB 7.15 DEC22 TBICI007109242</t>
  </si>
  <si>
    <t>FRSB 7.15 JUN23 TBICI007109242</t>
  </si>
  <si>
    <t>FRSB 7.15 DEC23 TBICI007109242</t>
  </si>
  <si>
    <t>FRSB 7.15 JUN24 TBICI007109242</t>
  </si>
  <si>
    <t>FT-FRSB INT DEC24 TBICI007109242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</si>
</sst>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dd/mm/yyyy"/>
    <numFmt numFmtId="166" formatCode="&quot;₹&quot;#,##0.00"/>
  </numFmts>
  <fonts count="2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</font>
    <font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sz val="10"/>
      <color indexed="72"/>
      <name val="SansSerif"/>
    </font>
    <font>
      <sz val="10"/>
      <color indexed="8"/>
      <name val="SansSerif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 style="thin">
        <color rgb="FFA02B93"/>
      </top>
      <bottom/>
      <diagonal/>
    </border>
    <border>
      <left style="thin">
        <color rgb="FF156082"/>
      </left>
      <right/>
      <top style="thin">
        <color rgb="FF156082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ont="0" applyFill="0" applyBorder="0" applyAlignment="0" applyProtection="0"/>
  </cellStyleXfs>
  <cellXfs count="41">
    <xf numFmtId="0" fontId="0" fillId="0" borderId="0" xfId="0"/>
    <xf numFmtId="15" fontId="0" fillId="0" borderId="0" xfId="0" applyNumberFormat="1"/>
    <xf numFmtId="0" fontId="0" fillId="0" borderId="10" xfId="0" applyBorder="1"/>
    <xf numFmtId="0" fontId="0" fillId="0" borderId="11" xfId="0" applyBorder="1"/>
    <xf numFmtId="14" fontId="0" fillId="0" borderId="0" xfId="0" applyNumberFormat="1"/>
    <xf numFmtId="15" fontId="0" fillId="0" borderId="0" xfId="0" applyNumberFormat="1" applyAlignment="1">
      <alignment vertical="center"/>
    </xf>
    <xf numFmtId="0" fontId="18" fillId="0" borderId="0" xfId="0" applyFont="1"/>
    <xf numFmtId="164" fontId="0" fillId="0" borderId="0" xfId="0" applyNumberFormat="1"/>
    <xf numFmtId="49" fontId="0" fillId="0" borderId="0" xfId="0" applyNumberFormat="1"/>
    <xf numFmtId="15" fontId="0" fillId="0" borderId="12" xfId="0" applyNumberFormat="1" applyBorder="1"/>
    <xf numFmtId="0" fontId="19" fillId="0" borderId="0" xfId="0" applyFont="1"/>
    <xf numFmtId="165" fontId="0" fillId="0" borderId="0" xfId="0" applyNumberFormat="1" applyAlignment="1">
      <alignment vertical="center"/>
    </xf>
    <xf numFmtId="0" fontId="0" fillId="0" borderId="13" xfId="0" applyBorder="1"/>
    <xf numFmtId="164" fontId="0" fillId="0" borderId="13" xfId="0" applyNumberFormat="1" applyBorder="1"/>
    <xf numFmtId="0" fontId="0" fillId="0" borderId="12" xfId="0" applyBorder="1"/>
    <xf numFmtId="49" fontId="0" fillId="0" borderId="13" xfId="0" applyNumberFormat="1" applyBorder="1"/>
    <xf numFmtId="0" fontId="0" fillId="33" borderId="0" xfId="0" applyFill="1"/>
    <xf numFmtId="164" fontId="0" fillId="33" borderId="0" xfId="0" applyNumberFormat="1" applyFill="1"/>
    <xf numFmtId="49" fontId="0" fillId="33" borderId="0" xfId="0" applyNumberFormat="1" applyFill="1"/>
    <xf numFmtId="0" fontId="0" fillId="33" borderId="12" xfId="0" applyFill="1" applyBorder="1"/>
    <xf numFmtId="165" fontId="0" fillId="33" borderId="0" xfId="0" applyNumberFormat="1" applyFill="1" applyAlignment="1">
      <alignment vertical="center"/>
    </xf>
    <xf numFmtId="164" fontId="18" fillId="0" borderId="0" xfId="0" applyNumberFormat="1" applyFont="1"/>
    <xf numFmtId="0" fontId="20" fillId="0" borderId="0" xfId="0" applyFont="1"/>
    <xf numFmtId="164" fontId="20" fillId="0" borderId="0" xfId="0" applyNumberFormat="1" applyFont="1"/>
    <xf numFmtId="49" fontId="20" fillId="0" borderId="0" xfId="0" applyNumberFormat="1" applyFont="1"/>
    <xf numFmtId="49" fontId="0" fillId="0" borderId="0" xfId="0" applyNumberFormat="1" applyAlignment="1">
      <alignment horizontal="left"/>
    </xf>
    <xf numFmtId="0" fontId="0" fillId="0" borderId="0" xfId="0" quotePrefix="1"/>
    <xf numFmtId="14" fontId="0" fillId="0" borderId="0" xfId="0" applyNumberFormat="1" applyAlignment="1">
      <alignment vertical="center"/>
    </xf>
    <xf numFmtId="166" fontId="0" fillId="0" borderId="0" xfId="0" applyNumberFormat="1"/>
    <xf numFmtId="0" fontId="21" fillId="0" borderId="14" xfId="0" applyFont="1" applyBorder="1"/>
    <xf numFmtId="0" fontId="0" fillId="0" borderId="15" xfId="0" applyFont="1" applyBorder="1"/>
    <xf numFmtId="0" fontId="0" fillId="0" borderId="16" xfId="0" applyFont="1" applyBorder="1"/>
    <xf numFmtId="0" fontId="0" fillId="0" borderId="17" xfId="0" applyFont="1" applyBorder="1"/>
    <xf numFmtId="0" fontId="0" fillId="0" borderId="18" xfId="0" applyFont="1" applyBorder="1"/>
    <xf numFmtId="14" fontId="0" fillId="0" borderId="0" xfId="0" applyNumberFormat="1" applyBorder="1" applyAlignment="1">
      <alignment vertical="center"/>
    </xf>
    <xf numFmtId="0" fontId="23" fillId="34" borderId="0" xfId="42" applyNumberFormat="1" applyFont="1" applyFill="1" applyBorder="1" applyAlignment="1">
      <alignment horizontal="right" vertical="top" wrapText="1"/>
    </xf>
    <xf numFmtId="0" fontId="24" fillId="34" borderId="0" xfId="0" applyFont="1" applyFill="1" applyBorder="1" applyAlignment="1">
      <alignment horizontal="right" vertical="top" wrapText="1"/>
    </xf>
    <xf numFmtId="0" fontId="0" fillId="0" borderId="0" xfId="0" applyNumberFormat="1"/>
    <xf numFmtId="14" fontId="0" fillId="0" borderId="18" xfId="0" applyNumberFormat="1" applyFont="1" applyBorder="1" applyAlignment="1">
      <alignment vertical="center"/>
    </xf>
    <xf numFmtId="14" fontId="0" fillId="0" borderId="16" xfId="0" applyNumberFormat="1" applyFont="1" applyBorder="1" applyAlignment="1">
      <alignment vertical="center"/>
    </xf>
    <xf numFmtId="0" fontId="0" fillId="0" borderId="0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C6BE1C5-3ABB-544F-A807-7E9B6F4AA42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numFmt numFmtId="166" formatCode="&quot;₹&quot;#,##0.00"/>
    </dxf>
    <dxf>
      <numFmt numFmtId="20" formatCode="dd\-mmm\-yy"/>
      <alignment horizontal="general" vertical="center" textRotation="0" wrapText="0" indent="0" justifyLastLine="0" shrinkToFit="0" readingOrder="0"/>
    </dxf>
    <dxf>
      <numFmt numFmtId="19" formatCode="dd/mm/yy"/>
      <alignment horizontal="general" vertical="center" textRotation="0" wrapText="0" indent="0" justifyLastLine="0" shrinkToFit="0" readingOrder="0"/>
    </dxf>
    <dxf>
      <numFmt numFmtId="166" formatCode="&quot;₹&quot;#,##0.00"/>
    </dxf>
    <dxf>
      <numFmt numFmtId="166" formatCode="&quot;₹&quot;#,##0.00"/>
    </dxf>
    <dxf>
      <numFmt numFmtId="166" formatCode="&quot;₹&quot;#,##0.00"/>
    </dxf>
    <dxf>
      <numFmt numFmtId="166" formatCode="&quot;₹&quot;#,##0.00"/>
    </dxf>
    <dxf>
      <numFmt numFmtId="166" formatCode="&quot;₹&quot;#,##0.00"/>
    </dxf>
    <dxf>
      <numFmt numFmtId="20" formatCode="dd\-mmm\-yy"/>
    </dxf>
    <dxf>
      <numFmt numFmtId="166" formatCode="&quot;₹&quot;#,##0.00"/>
    </dxf>
    <dxf>
      <numFmt numFmtId="19" formatCode="dd/mm/yy"/>
      <alignment horizontal="general" vertical="center" textRotation="0" wrapText="0" indent="0" justifyLastLine="0" shrinkToFit="0" readingOrder="0"/>
    </dxf>
    <dxf>
      <numFmt numFmtId="20" formatCode="dd\-mmm\-yy"/>
      <alignment horizontal="general" vertical="center" textRotation="0" wrapText="0" indent="0" justifyLastLine="0" shrinkToFit="0" readingOrder="0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numFmt numFmtId="20" formatCode="dd\-mmm\-yy"/>
    </dxf>
    <dxf>
      <numFmt numFmtId="20" formatCode="dd\-mmm\-yy"/>
    </dxf>
    <dxf>
      <numFmt numFmtId="164" formatCode="&quot;₹&quot;\ #,##0.00"/>
    </dxf>
    <dxf>
      <numFmt numFmtId="164" formatCode="&quot;₹&quot;\ #,##0.00"/>
    </dxf>
    <dxf>
      <numFmt numFmtId="30" formatCode="@"/>
    </dxf>
    <dxf>
      <numFmt numFmtId="164" formatCode="&quot;₹&quot;\ #,##0.00"/>
    </dxf>
    <dxf>
      <numFmt numFmtId="165" formatCode="dd/mm/yyyy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0" formatCode="dd\-mmm\-yy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0" formatCode="dd\-mmm\-yy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20" formatCode="d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46250D-6081-224C-927E-14E7AF22FD4C}" name="Table2" displayName="Table2" ref="A1:G5" totalsRowShown="0">
  <autoFilter ref="A1:G5" xr:uid="{5246250D-6081-224C-927E-14E7AF22FD4C}"/>
  <tableColumns count="7">
    <tableColumn id="1" xr3:uid="{10DE9821-BB62-9540-A58A-122CAD3F3AC3}" name="Id"/>
    <tableColumn id="2" xr3:uid="{D7E69AE7-23BC-174F-AB3D-BDF91431CD90}" name="Name"/>
    <tableColumn id="3" xr3:uid="{F229D4DB-0EDD-F64F-A22F-7E9FEF7A10BF}" name="DisplayName"/>
    <tableColumn id="4" xr3:uid="{50FE2904-3015-5B45-9140-2F1B384AD178}" name="Dob" dataDxfId="38"/>
    <tableColumn id="5" xr3:uid="{FF9E5EB0-AFB8-A946-A83B-11BAFA15FE56}" name="GenderId"/>
    <tableColumn id="6" xr3:uid="{760A2E5F-6C0B-7E42-AA60-E6E3B078F34C}" name="IsFamilyHead"/>
    <tableColumn id="7" xr3:uid="{F955C30D-D2A1-F745-A684-FB311C4A3BC5}" name="FamilyHea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78D0AF-1514-EB4A-8A5D-C5ECD02546DB}" name="ISINTable" displayName="ISINTable" ref="A1:F31" headerRowDxfId="37" dataDxfId="36" totalsRowDxfId="35">
  <autoFilter ref="A1:F31" xr:uid="{3478D0AF-1514-EB4A-8A5D-C5ECD02546DB}"/>
  <sortState xmlns:xlrd2="http://schemas.microsoft.com/office/spreadsheetml/2017/richdata2" ref="A2:D31">
    <sortCondition ref="B2:B31"/>
  </sortState>
  <tableColumns count="6">
    <tableColumn id="1" xr3:uid="{C91CFA9A-AB89-9341-9F89-D481613B35F0}" name="ISIN" dataDxfId="34"/>
    <tableColumn id="2" xr3:uid="{94B85035-7256-DF49-A14F-D99830860AAE}" name="Company" dataDxfId="33"/>
    <tableColumn id="3" xr3:uid="{1FAF0D6D-A333-C14D-8320-F5B0EEC2AFF8}" name="NSE Symbol" dataDxfId="32"/>
    <tableColumn id="4" xr3:uid="{0969A61B-61F8-2A43-9C8D-745D74851EA3}" name="BSE Code" dataDxfId="31"/>
    <tableColumn id="5" xr3:uid="{F59184CE-A708-4B46-AAA4-9119706B3E96}" name="Incorporation Date" dataDxfId="30" totalsRowDxfId="29"/>
    <tableColumn id="6" xr3:uid="{3F95A63A-F7FB-0F44-A472-49446749F45E}" name="ISIN Creation Date" dataDxfId="28" totalsRowDxfId="2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874BA-114F-C340-93F2-D2A9203F98D4}" name="Table1" displayName="Table1" ref="A1:P102" totalsRowShown="0">
  <autoFilter ref="A1:P102" xr:uid="{69B874BA-114F-C340-93F2-D2A9203F98D4}">
    <filterColumn colId="4">
      <filters>
        <filter val="IRCTC"/>
      </filters>
    </filterColumn>
  </autoFilter>
  <tableColumns count="16">
    <tableColumn id="1" xr3:uid="{402B9537-46B3-D440-B7E5-FB14BE83DAEC}" name="Person"/>
    <tableColumn id="2" xr3:uid="{27B331BE-0616-4343-992A-640D2131D6EE}" name="Account"/>
    <tableColumn id="3" xr3:uid="{F8C0F30E-0A07-454A-98E4-2A39D664C705}" name="Trade Date" dataDxfId="26"/>
    <tableColumn id="4" xr3:uid="{F66FD8B2-E1FB-9747-8FAC-221378536716}" name="ISIN"/>
    <tableColumn id="5" xr3:uid="{AB3B46B3-3390-A24B-88BF-711CB56D2780}" name="Security"/>
    <tableColumn id="6" xr3:uid="{5412213A-12EC-8941-A589-C643C34E10EB}" name="Segment"/>
    <tableColumn id="7" xr3:uid="{FBD61AAC-36DC-5942-A310-43B6EA6C6341}" name="Action"/>
    <tableColumn id="8" xr3:uid="{1DD95ED9-FF9A-D34D-ACA4-3CD47E712A1F}" name="Quantity"/>
    <tableColumn id="9" xr3:uid="{6D6FC03B-0596-394A-B9DF-7F6F865D3BB0}" name="Price/Share"/>
    <tableColumn id="10" xr3:uid="{30DC8C22-C8AB-EF40-BD73-6357DF35B5A5}" name="Net Amount">
      <calculatedColumnFormula>H2*I2</calculatedColumnFormula>
    </tableColumn>
    <tableColumn id="11" xr3:uid="{D48C2180-9C58-3246-9438-DCC9D894522A}" name="BrokeragePerUnit"/>
    <tableColumn id="12" xr3:uid="{B2B3CFE8-E83C-5543-BBE0-FB807F5BFD1F}" name="NetBrokerage">
      <calculatedColumnFormula>H2*K2</calculatedColumnFormula>
    </tableColumn>
    <tableColumn id="18" xr3:uid="{22059109-9EB5-C940-96AD-2C65FB9391CA}" name="STT"/>
    <tableColumn id="17" xr3:uid="{1D8B4D7E-81CA-7E4D-BCDF-11E383DE03C0}" name="Stamp Duty"/>
    <tableColumn id="13" xr3:uid="{1300EF13-4DB4-F641-A91A-55DDCCF42546}" name="GST"/>
    <tableColumn id="14" xr3:uid="{78CAC4DA-7B5A-A143-9504-CF8B61A8D54E}" name="Total Amount">
      <calculatedColumnFormula>J2+L2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851E3D-CC2E-2646-9CDE-D7F28D8FA284}" name="Table15" displayName="Table15" ref="A1:N151" totalsRowShown="0" headerRowDxfId="25">
  <autoFilter ref="A1:N151" xr:uid="{92851E3D-CC2E-2646-9CDE-D7F28D8FA284}"/>
  <sortState xmlns:xlrd2="http://schemas.microsoft.com/office/spreadsheetml/2017/richdata2" ref="A2:N151">
    <sortCondition ref="C2:C151"/>
  </sortState>
  <tableColumns count="14">
    <tableColumn id="12" xr3:uid="{3840908B-FF83-CB41-AAE2-5035AE6E16C0}" name="People"/>
    <tableColumn id="1" xr3:uid="{6FD593F6-C345-974D-933D-FC749EDBB157}" name="Record Date"/>
    <tableColumn id="2" xr3:uid="{15AD3D5E-EF83-6546-A4FE-0B86CA16CA88}" name="Date" dataDxfId="24"/>
    <tableColumn id="3" xr3:uid="{1ED970B8-C337-5D4F-B5A8-7AB2530E2359}" name="Account"/>
    <tableColumn id="4" xr3:uid="{EEAA2927-43F1-B744-8527-40D0D0E9936D}" name="ISIN"/>
    <tableColumn id="5" xr3:uid="{0EA1DB11-9FE8-934D-B07C-6945A710E2FD}" name="Stock"/>
    <tableColumn id="6" xr3:uid="{272913E2-1E54-2C45-80CD-6843C57552CE}" name="Nature"/>
    <tableColumn id="7" xr3:uid="{79D5F1AE-2819-AE4A-8B96-282AE4111C82}" name="Quantity"/>
    <tableColumn id="8" xr3:uid="{DADE57C5-0E46-6746-A0AB-0C9AAB41E9E2}" name="Per Share" dataDxfId="23"/>
    <tableColumn id="13" xr3:uid="{B575C695-6DE9-B146-9ED9-368D32B0C729}" name="Ratio" dataDxfId="22"/>
    <tableColumn id="9" xr3:uid="{403EF57C-A4F3-7C4E-A4C6-5D54E2D0E2A8}" name="Dividend Amount" dataDxfId="21"/>
    <tableColumn id="14" xr3:uid="{D5C383E4-A206-2D40-974E-4A42225ED82E}" name="Total Units" dataDxfId="20"/>
    <tableColumn id="10" xr3:uid="{71D272A4-B312-8C4C-B946-831230DC7CB7}" name="TaxOnDividend"/>
    <tableColumn id="11" xr3:uid="{48F92846-C887-5340-9893-9723B5AB06B5}" name="FinalAmount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3EE8ED-1C2E-6844-82BF-A265CD4C35A6}" name="Table3" displayName="Table3" ref="A1:Q273" totalsRowShown="0">
  <autoFilter ref="A1:Q273" xr:uid="{413EE8ED-1C2E-6844-82BF-A265CD4C35A6}">
    <filterColumn colId="14">
      <filters>
        <filter val="Executed"/>
      </filters>
    </filterColumn>
  </autoFilter>
  <tableColumns count="17">
    <tableColumn id="1" xr3:uid="{749626B5-F3F2-3945-B121-B98CB0A96B1E}" name="Person"/>
    <tableColumn id="2" xr3:uid="{706C6171-6C85-4944-AE29-D3C3F3583B72}" name="Account"/>
    <tableColumn id="3" xr3:uid="{A2D40B47-4967-C64A-9182-091485684E6A}" name="Date" dataDxfId="19"/>
    <tableColumn id="4" xr3:uid="{5BCFE48E-58D1-A94C-B817-263D47389785}" name="Transaction ID"/>
    <tableColumn id="5" xr3:uid="{FD7B050B-A92C-044A-945B-4C77F389712E}" name="Transaction Type"/>
    <tableColumn id="6" xr3:uid="{4D6D2013-C60A-0E4F-B241-2AE9EE90CBB1}" name="Fund Name"/>
    <tableColumn id="7" xr3:uid="{0A1516F9-7859-C14A-816A-5BB2BD9EADEA}" name="Scheme Name"/>
    <tableColumn id="8" xr3:uid="{1D393BA1-453A-DF4C-8D45-89BA94B67277}" name="Folio No"/>
    <tableColumn id="9" xr3:uid="{56F26D36-AE6D-AD46-89E4-A7852A8C0009}" name="Last recorded NAV"/>
    <tableColumn id="10" xr3:uid="{D6D71F70-1357-D946-B9F9-7BBF85DEB1E9}" name="Last recorded NAV On" dataDxfId="18"/>
    <tableColumn id="11" xr3:uid="{6EF90D28-A94E-E746-9638-3F9E3EA4EE99}" name="Div-Reinvestment"/>
    <tableColumn id="12" xr3:uid="{897CE7E2-4A44-594A-A5FF-D9179111CFE9}" name="Amount"/>
    <tableColumn id="13" xr3:uid="{4C2F8C3E-95CF-1E4A-AD08-106718EDA162}" name="Secure Mind Premium Amount"/>
    <tableColumn id="14" xr3:uid="{5BE9E250-B4BB-5240-98B1-DC17B9387F62}" name="Unit"/>
    <tableColumn id="15" xr3:uid="{BAEA4F3A-BED1-BA41-ACEC-F04209E7AB70}" name="Status"/>
    <tableColumn id="16" xr3:uid="{F76C6510-310E-DA48-8FD0-5B617C087F35}" name="Tax Saving"/>
    <tableColumn id="17" xr3:uid="{9334F398-CCA3-D542-A8BF-DFE983B24495}" name="Channel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856DE6-D27D-EA47-84AA-4AC15C711567}" name="Table5" displayName="Table5" ref="A1:K196" totalsRowShown="0">
  <autoFilter ref="A1:K196" xr:uid="{1F856DE6-D27D-EA47-84AA-4AC15C711567}"/>
  <sortState xmlns:xlrd2="http://schemas.microsoft.com/office/spreadsheetml/2017/richdata2" ref="A2:K144">
    <sortCondition ref="E2:E144"/>
  </sortState>
  <tableColumns count="11">
    <tableColumn id="1" xr3:uid="{D24591B3-E216-8D40-A95C-7791798C856E}" name="Person " dataDxfId="17"/>
    <tableColumn id="2" xr3:uid="{226C7B2A-0A5E-4343-A7C2-ACEF96718284}" name="Account" dataDxfId="16"/>
    <tableColumn id="3" xr3:uid="{9BE64CD6-5BC7-C54A-8A02-A5602AE728A2}" name="AMC Name"/>
    <tableColumn id="4" xr3:uid="{3F1FB83B-D23F-3244-A7AB-6265DD4F5BF2}" name="Scheme Name"/>
    <tableColumn id="5" xr3:uid="{2B304844-D1AD-0F4C-9F20-58C883CB558E}" name="Record Date"/>
    <tableColumn id="6" xr3:uid="{B321D9D6-7A5C-C947-B81F-267A8D02928B}" name="Dividend Per Unit(Rs./Unit)"/>
    <tableColumn id="7" xr3:uid="{C0198838-C3AB-F545-8649-4869C72F9E80}" name="NAV as on Record Date"/>
    <tableColumn id="8" xr3:uid="{DE9A2840-5F21-F74A-921B-D177FE4100BB}" name="Gross Amount(rs.)"/>
    <tableColumn id="9" xr3:uid="{A054CBE3-A57C-B341-9F81-737DE8A75663}" name="Units"/>
    <tableColumn id="10" xr3:uid="{4135883F-DFC4-0148-B9A4-0D963DBF04A8}" name="Dividend Type"/>
    <tableColumn id="11" xr3:uid="{0848FCA6-35D7-094C-AF33-22A1FFBA89F4}" name=" Missing Date" dataDxfId="15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D1D089-AA94-0A44-B160-F0A8CCDC3760}" name="Table6" displayName="Table6" ref="A1:K41" totalsRowShown="0">
  <autoFilter ref="A1:K41" xr:uid="{06D1D089-AA94-0A44-B160-F0A8CCDC3760}"/>
  <tableColumns count="11">
    <tableColumn id="1" xr3:uid="{23163881-7E31-7B46-A375-9FB555FE9CD7}" name="Person"/>
    <tableColumn id="2" xr3:uid="{AAD497D8-F3B6-D04C-A94C-DDA752626E57}" name="Policy No"/>
    <tableColumn id="3" xr3:uid="{6C32D55C-8827-A842-ADDB-A6CB32AA543A}" name="Agency Code"/>
    <tableColumn id="4" xr3:uid="{EC651C3D-5628-894C-919A-2B9418E32725}" name="Premium Due Date" dataDxfId="14"/>
    <tableColumn id="5" xr3:uid="{CF3189AE-A91A-CB44-978F-0F17593743CF}" name="Paid on" dataDxfId="13"/>
    <tableColumn id="6" xr3:uid="{A0C51315-5F64-6043-AF0C-64D2AEB2BA7E}" name="Transaction No"/>
    <tableColumn id="7" xr3:uid="{8C082829-0673-3C49-9ED9-16A2400DF679}" name="Transaction Type"/>
    <tableColumn id="8" xr3:uid="{90542E0C-78F8-3C44-AB2D-BC24A080C513}" name="Premium Amount"/>
    <tableColumn id="9" xr3:uid="{93CC9DC9-8270-3447-AA4B-BB4741EC2DED}" name="Late Fee"/>
    <tableColumn id="10" xr3:uid="{D2BCB02D-C9C8-C14E-B642-D575077A1BF0}" name="Total Amount"/>
    <tableColumn id="11" xr3:uid="{3E3F10AE-56C4-D840-A9E7-1D7A5B220346}" name="Benefit Amount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34FB19-C0C5-7F47-982C-2CEBEF6AAF09}" name="Table7" displayName="Table7" ref="A1:M235" totalsRowShown="0">
  <autoFilter ref="A1:M235" xr:uid="{7534FB19-C0C5-7F47-982C-2CEBEF6AAF09}">
    <filterColumn colId="5">
      <filters>
        <filter val="Interest"/>
      </filters>
    </filterColumn>
  </autoFilter>
  <sortState xmlns:xlrd2="http://schemas.microsoft.com/office/spreadsheetml/2017/richdata2" ref="A2:M235">
    <sortCondition ref="G2:G235"/>
  </sortState>
  <tableColumns count="13">
    <tableColumn id="1" xr3:uid="{F922B1F7-0905-2D41-A30F-3A6008685ED6}" name="Person"/>
    <tableColumn id="2" xr3:uid="{119E766C-A357-DC4A-8E2F-3D5974BC18C6}" name="UAN"/>
    <tableColumn id="3" xr3:uid="{8D1243E0-52D0-7F4D-B946-D2487493061F}" name="Establishment Name"/>
    <tableColumn id="4" xr3:uid="{8E2B2B65-A750-534D-A85F-9A9001313E51}" name="Member ID"/>
    <tableColumn id="5" xr3:uid="{84942EA2-D70B-9548-8B23-2350F3695C55}" name="Year"/>
    <tableColumn id="6" xr3:uid="{0F8059C3-D672-E24A-8C98-AEF8CDBD3FFE}" name="Transaction Type"/>
    <tableColumn id="7" xr3:uid="{F041853A-9AB0-3346-AFEE-B4E9866D8A53}" name="Date" dataDxfId="12"/>
    <tableColumn id="8" xr3:uid="{70F0825D-EA40-AD49-BD29-98BEEB0A1A0D}" name="Particulars"/>
    <tableColumn id="9" xr3:uid="{658A6304-2B1B-5348-8085-A978F2B8EB96}" name="Wages"/>
    <tableColumn id="10" xr3:uid="{3B30A7FA-DB79-AE4F-98BE-03A63154072C}" name="Contribution"/>
    <tableColumn id="11" xr3:uid="{46BA58DE-58AE-C945-BBE0-A2AACE36B6F4}" name="EPF Employee"/>
    <tableColumn id="12" xr3:uid="{DA1877EF-486D-154F-82BA-D7D51D9350D3}" name="EPF Employer"/>
    <tableColumn id="13" xr3:uid="{F55E5AB7-F552-254B-8210-34F7B1E75D34}" name="Pension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71CE2E6-185C-B24D-AB06-D1CDC3D189F0}" name="Table8" displayName="Table8" ref="A1:F31" totalsRowShown="0">
  <autoFilter ref="A1:F31" xr:uid="{671CE2E6-185C-B24D-AB06-D1CDC3D189F0}"/>
  <tableColumns count="6">
    <tableColumn id="1" xr3:uid="{7711BE01-18A6-8C47-B9F5-454678DCF505}" name="Person"/>
    <tableColumn id="2" xr3:uid="{6E8EF78F-DE19-944F-9D42-EF9C41943A33}" name="Financial Year"/>
    <tableColumn id="3" xr3:uid="{38672957-E911-6649-ADA3-70D4C9727659}" name="Date" dataDxfId="11"/>
    <tableColumn id="6" xr3:uid="{65B8E558-D743-9D4C-803B-DC44ACF8623B}" name="Particulars" dataDxfId="10"/>
    <tableColumn id="4" xr3:uid="{C51610E1-510B-054C-9702-39FC1135D5D2}" name="Amount" dataDxfId="9"/>
    <tableColumn id="5" xr3:uid="{4A162B93-7283-354A-B65F-A8A767DCF522}" name="Typ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DC92EE5-124D-7D4E-BA74-EC93B6E4F5B9}" name="Table11" displayName="Table11" ref="A1:I9" totalsRowShown="0">
  <autoFilter ref="A1:I9" xr:uid="{4DC92EE5-124D-7D4E-BA74-EC93B6E4F5B9}"/>
  <tableColumns count="9">
    <tableColumn id="1" xr3:uid="{435C6D63-D12A-C447-BB8E-18AAF57825DC}" name="PRAN No"/>
    <tableColumn id="2" xr3:uid="{8B080B55-9FAB-8942-8713-433ADBA2ADCA}" name="Account Type"/>
    <tableColumn id="3" xr3:uid="{C609DD47-3FF4-AA4E-B969-0CB9FFBDDDAA}" name="Scheme Name"/>
    <tableColumn id="4" xr3:uid="{750945F3-4EA1-9545-972F-1D143856C2EB}" name="Contribution Amount (Rs.)"/>
    <tableColumn id="5" xr3:uid="{BC34F48C-5B3D-4A41-9825-A1529E274C6F}" name="Units"/>
    <tableColumn id="6" xr3:uid="{AE93D450-F204-C043-AF31-02429F4EA205}" name="NAV"/>
    <tableColumn id="7" xr3:uid="{7DC8B6D8-0A11-5A4D-993C-0651C5EB737F}" name="Current Value"/>
    <tableColumn id="8" xr3:uid="{AA08A467-6D1F-2948-BA35-F8A9E21ACE78}" name="Notional Gain/Loss"/>
    <tableColumn id="9" xr3:uid="{CE78B99A-DD8C-DD45-8E47-A7B9A8834E61}" name="XIRR"/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1CD4F0-37A0-5F41-B5E1-B85B99D84150}" name="Table10" displayName="Table10" ref="A1:J10" totalsRowShown="0">
  <autoFilter ref="A1:J10" xr:uid="{DC1CD4F0-37A0-5F41-B5E1-B85B99D84150}"/>
  <tableColumns count="10">
    <tableColumn id="1" xr3:uid="{1019A78D-FD88-274C-ADF7-D0B577CAF779}" name="Person"/>
    <tableColumn id="2" xr3:uid="{0C2F4C8F-C5C1-BB47-A5C8-8CA089D9554B}" name="Account"/>
    <tableColumn id="3" xr3:uid="{032CAA0E-3C9A-C74A-BEE2-1991D924B223}" name="Pran"/>
    <tableColumn id="4" xr3:uid="{66E6423A-FFFD-5E40-A617-D3D427E17E92}" name="Contribution Date" dataDxfId="8"/>
    <tableColumn id="5" xr3:uid="{1682400D-E90F-6F47-9162-0DD08B859326}" name="Self Contribution" dataDxfId="7"/>
    <tableColumn id="6" xr3:uid="{AED5945E-6CA4-2547-9F20-F440E51D273F}" name="Gross Contribution Amount" dataDxfId="6"/>
    <tableColumn id="7" xr3:uid="{BB38DA8A-92AE-9747-AB7D-C7A9255159E3}" name="Service Charges" dataDxfId="5"/>
    <tableColumn id="8" xr3:uid="{12F59806-4C0F-9F43-81F2-A0B24BAC055A}" name="GST" dataDxfId="4"/>
    <tableColumn id="9" xr3:uid="{2CB0527E-E725-E446-88E4-053381A9500E}" name="Net Contribution Amount" dataDxfId="3"/>
    <tableColumn id="12" xr3:uid="{DE3D2D83-5648-0B43-8EA8-6243CE3B3EB0}" name="Account Type"/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CE49866-41A1-E245-8E6F-AF4980036204}" name="Table12" displayName="Table12" ref="A1:I68" totalsRowShown="0">
  <autoFilter ref="A1:I68" xr:uid="{3CE49866-41A1-E245-8E6F-AF4980036204}"/>
  <tableColumns count="9">
    <tableColumn id="1" xr3:uid="{AA226644-822D-0144-80ED-9B295E5C69CC}" name="Person"/>
    <tableColumn id="2" xr3:uid="{85819774-7B4A-8A48-8235-C5A97D157FE1}" name="Account"/>
    <tableColumn id="3" xr3:uid="{1FAD624B-EFC7-8B44-A1A2-B2B431400749}" name="Date" dataDxfId="1"/>
    <tableColumn id="4" xr3:uid="{2DAFC7E5-D2A1-C84D-91CA-590F1D2D8AE8}" name="Type" dataDxfId="2"/>
    <tableColumn id="5" xr3:uid="{E21CFFCC-B366-AF4C-9429-07B760EB6AD7}" name="Scheme"/>
    <tableColumn id="9" xr3:uid="{9D4E1016-5E5A-7B41-AE4B-DFCD445AD6D4}" name="Particulars"/>
    <tableColumn id="6" xr3:uid="{CE9A0357-2B9E-C04C-9B44-E2D25E7F28F5}" name="Rate of Interest"/>
    <tableColumn id="7" xr3:uid="{2DA438FA-E99D-0746-801C-DFB9D8F8A6B7}" name="Amount" dataDxfId="0"/>
    <tableColumn id="8" xr3:uid="{E529750B-EC3E-CD41-B54B-F2F30B0D043D}" name="Marutiry D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55D3-D4E5-CB4A-A629-8C8C7E4EBFDA}">
  <dimension ref="A1:G5"/>
  <sheetViews>
    <sheetView workbookViewId="0">
      <selection activeCell="G5" sqref="G5"/>
    </sheetView>
  </sheetViews>
  <sheetFormatPr baseColWidth="10" defaultRowHeight="16"/>
  <cols>
    <col min="2" max="2" width="22.83203125" bestFit="1" customWidth="1"/>
    <col min="3" max="3" width="14.33203125" customWidth="1"/>
    <col min="4" max="4" width="9.5" bestFit="1" customWidth="1"/>
    <col min="5" max="5" width="11" customWidth="1"/>
    <col min="6" max="6" width="14.5" customWidth="1"/>
    <col min="7" max="7" width="14.5" bestFit="1" customWidth="1"/>
  </cols>
  <sheetData>
    <row r="1" spans="1:7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</row>
    <row r="2" spans="1:7">
      <c r="A2">
        <v>1</v>
      </c>
      <c r="B2" t="s">
        <v>14</v>
      </c>
      <c r="C2" t="s">
        <v>81</v>
      </c>
      <c r="D2" s="1">
        <v>31092</v>
      </c>
      <c r="E2">
        <v>1</v>
      </c>
      <c r="F2" t="b">
        <v>1</v>
      </c>
    </row>
    <row r="3" spans="1:7">
      <c r="A3">
        <v>2</v>
      </c>
      <c r="B3" t="s">
        <v>82</v>
      </c>
      <c r="C3" t="s">
        <v>83</v>
      </c>
      <c r="D3" s="1">
        <v>33526</v>
      </c>
      <c r="E3">
        <v>2</v>
      </c>
      <c r="G3" t="s">
        <v>14</v>
      </c>
    </row>
    <row r="4" spans="1:7">
      <c r="A4">
        <v>3</v>
      </c>
      <c r="B4" t="s">
        <v>436</v>
      </c>
      <c r="C4" t="s">
        <v>437</v>
      </c>
      <c r="D4" s="1">
        <v>42978</v>
      </c>
      <c r="E4">
        <v>2</v>
      </c>
      <c r="G4" t="s">
        <v>14</v>
      </c>
    </row>
    <row r="5" spans="1:7">
      <c r="A5">
        <v>4</v>
      </c>
      <c r="B5" t="s">
        <v>438</v>
      </c>
      <c r="C5" t="s">
        <v>439</v>
      </c>
      <c r="D5" s="1">
        <v>44127</v>
      </c>
      <c r="E5">
        <v>1</v>
      </c>
      <c r="G5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A14D-5252-7042-8972-F4D6E9228613}">
  <dimension ref="A1:F31"/>
  <sheetViews>
    <sheetView workbookViewId="0">
      <selection activeCell="A28" sqref="A28"/>
    </sheetView>
  </sheetViews>
  <sheetFormatPr baseColWidth="10" defaultRowHeight="16"/>
  <cols>
    <col min="1" max="1" width="13.33203125" bestFit="1" customWidth="1"/>
    <col min="2" max="2" width="35.83203125" bestFit="1" customWidth="1"/>
    <col min="3" max="3" width="13.33203125" bestFit="1" customWidth="1"/>
    <col min="4" max="4" width="11.5" bestFit="1" customWidth="1"/>
    <col min="5" max="5" width="19.1640625" bestFit="1" customWidth="1"/>
    <col min="6" max="6" width="19.1640625" customWidth="1"/>
  </cols>
  <sheetData>
    <row r="1" spans="1:6">
      <c r="A1" t="s">
        <v>3</v>
      </c>
      <c r="B1" t="s">
        <v>443</v>
      </c>
      <c r="C1" t="s">
        <v>444</v>
      </c>
      <c r="D1" t="s">
        <v>445</v>
      </c>
      <c r="E1" t="s">
        <v>507</v>
      </c>
      <c r="F1" t="s">
        <v>549</v>
      </c>
    </row>
    <row r="2" spans="1:6">
      <c r="A2" t="s">
        <v>138</v>
      </c>
      <c r="B2" t="s">
        <v>498</v>
      </c>
      <c r="C2" t="s">
        <v>474</v>
      </c>
      <c r="D2" t="s">
        <v>475</v>
      </c>
      <c r="E2" t="s">
        <v>508</v>
      </c>
    </row>
    <row r="3" spans="1:6">
      <c r="A3" t="s">
        <v>51</v>
      </c>
      <c r="B3" t="s">
        <v>509</v>
      </c>
      <c r="C3" t="s">
        <v>47</v>
      </c>
      <c r="D3" t="s">
        <v>484</v>
      </c>
      <c r="E3" t="s">
        <v>510</v>
      </c>
    </row>
    <row r="4" spans="1:6">
      <c r="A4" t="s">
        <v>157</v>
      </c>
      <c r="B4" t="s">
        <v>499</v>
      </c>
      <c r="C4" t="s">
        <v>37</v>
      </c>
      <c r="D4" t="s">
        <v>476</v>
      </c>
      <c r="E4" t="s">
        <v>511</v>
      </c>
    </row>
    <row r="5" spans="1:6">
      <c r="A5" t="s">
        <v>184</v>
      </c>
      <c r="B5" t="s">
        <v>500</v>
      </c>
      <c r="C5" t="s">
        <v>491</v>
      </c>
      <c r="D5" t="s">
        <v>492</v>
      </c>
      <c r="E5" t="s">
        <v>512</v>
      </c>
    </row>
    <row r="6" spans="1:6">
      <c r="A6" t="s">
        <v>52</v>
      </c>
      <c r="B6" t="s">
        <v>513</v>
      </c>
      <c r="C6" t="s">
        <v>43</v>
      </c>
      <c r="D6" t="s">
        <v>477</v>
      </c>
      <c r="E6" t="s">
        <v>514</v>
      </c>
    </row>
    <row r="7" spans="1:6">
      <c r="A7" t="s">
        <v>143</v>
      </c>
      <c r="B7" t="s">
        <v>501</v>
      </c>
      <c r="C7" t="s">
        <v>462</v>
      </c>
      <c r="D7" t="s">
        <v>463</v>
      </c>
      <c r="E7" t="s">
        <v>515</v>
      </c>
      <c r="F7" s="1">
        <v>44876</v>
      </c>
    </row>
    <row r="8" spans="1:6">
      <c r="A8" t="s">
        <v>141</v>
      </c>
      <c r="B8" t="s">
        <v>502</v>
      </c>
      <c r="C8" t="s">
        <v>466</v>
      </c>
      <c r="D8" t="s">
        <v>467</v>
      </c>
      <c r="E8" t="s">
        <v>516</v>
      </c>
    </row>
    <row r="9" spans="1:6">
      <c r="A9" t="s">
        <v>19</v>
      </c>
      <c r="B9" t="s">
        <v>494</v>
      </c>
      <c r="C9" t="s">
        <v>451</v>
      </c>
      <c r="D9" t="s">
        <v>452</v>
      </c>
      <c r="E9" t="s">
        <v>517</v>
      </c>
      <c r="F9" s="1">
        <v>34845</v>
      </c>
    </row>
    <row r="10" spans="1:6">
      <c r="A10" t="s">
        <v>16</v>
      </c>
      <c r="B10" t="s">
        <v>496</v>
      </c>
      <c r="C10" t="s">
        <v>458</v>
      </c>
      <c r="D10" t="s">
        <v>459</v>
      </c>
      <c r="E10" t="s">
        <v>518</v>
      </c>
    </row>
    <row r="11" spans="1:6">
      <c r="A11" t="s">
        <v>136</v>
      </c>
      <c r="B11" t="s">
        <v>497</v>
      </c>
      <c r="C11" t="s">
        <v>460</v>
      </c>
      <c r="D11" t="s">
        <v>461</v>
      </c>
      <c r="E11" t="s">
        <v>519</v>
      </c>
    </row>
    <row r="12" spans="1:6">
      <c r="A12" t="s">
        <v>21</v>
      </c>
      <c r="B12" t="s">
        <v>180</v>
      </c>
      <c r="C12" t="s">
        <v>487</v>
      </c>
      <c r="D12" t="s">
        <v>488</v>
      </c>
      <c r="E12" t="s">
        <v>526</v>
      </c>
      <c r="F12" s="1">
        <v>43752</v>
      </c>
    </row>
    <row r="13" spans="1:6">
      <c r="A13" t="s">
        <v>44</v>
      </c>
      <c r="B13" t="s">
        <v>527</v>
      </c>
      <c r="C13" t="s">
        <v>45</v>
      </c>
      <c r="D13" t="s">
        <v>455</v>
      </c>
      <c r="E13" t="s">
        <v>528</v>
      </c>
      <c r="F13" s="1">
        <v>44497</v>
      </c>
    </row>
    <row r="14" spans="1:6">
      <c r="A14" t="s">
        <v>50</v>
      </c>
      <c r="B14" t="s">
        <v>529</v>
      </c>
      <c r="C14" t="s">
        <v>32</v>
      </c>
      <c r="D14" t="s">
        <v>448</v>
      </c>
      <c r="E14" t="s">
        <v>530</v>
      </c>
      <c r="F14" s="1">
        <v>45686</v>
      </c>
    </row>
    <row r="15" spans="1:6">
      <c r="A15" t="s">
        <v>478</v>
      </c>
      <c r="B15" t="s">
        <v>520</v>
      </c>
      <c r="C15" t="s">
        <v>49</v>
      </c>
      <c r="D15" t="s">
        <v>479</v>
      </c>
      <c r="E15" t="s">
        <v>521</v>
      </c>
    </row>
    <row r="16" spans="1:6">
      <c r="A16" t="s">
        <v>63</v>
      </c>
      <c r="B16" t="s">
        <v>520</v>
      </c>
      <c r="C16" t="s">
        <v>49</v>
      </c>
      <c r="D16" t="s">
        <v>479</v>
      </c>
      <c r="E16" t="s">
        <v>521</v>
      </c>
    </row>
    <row r="17" spans="1:6">
      <c r="A17" t="s">
        <v>159</v>
      </c>
      <c r="B17" t="s">
        <v>522</v>
      </c>
      <c r="C17" t="s">
        <v>482</v>
      </c>
      <c r="D17" t="s">
        <v>483</v>
      </c>
      <c r="E17" t="s">
        <v>523</v>
      </c>
    </row>
    <row r="18" spans="1:6">
      <c r="A18" t="s">
        <v>156</v>
      </c>
      <c r="B18" t="s">
        <v>524</v>
      </c>
      <c r="C18" t="s">
        <v>468</v>
      </c>
      <c r="D18" t="s">
        <v>469</v>
      </c>
      <c r="E18" t="s">
        <v>525</v>
      </c>
    </row>
    <row r="19" spans="1:6">
      <c r="A19" t="s">
        <v>150</v>
      </c>
      <c r="B19" t="s">
        <v>503</v>
      </c>
      <c r="C19" t="s">
        <v>480</v>
      </c>
      <c r="D19" t="s">
        <v>481</v>
      </c>
      <c r="E19" t="s">
        <v>531</v>
      </c>
    </row>
    <row r="20" spans="1:6">
      <c r="A20" t="s">
        <v>38</v>
      </c>
      <c r="B20" t="s">
        <v>504</v>
      </c>
      <c r="C20" t="s">
        <v>485</v>
      </c>
      <c r="D20" t="s">
        <v>486</v>
      </c>
      <c r="E20" t="s">
        <v>532</v>
      </c>
    </row>
    <row r="21" spans="1:6">
      <c r="A21" t="s">
        <v>53</v>
      </c>
      <c r="B21" t="s">
        <v>493</v>
      </c>
      <c r="C21" t="s">
        <v>449</v>
      </c>
      <c r="D21" t="s">
        <v>450</v>
      </c>
      <c r="E21" t="s">
        <v>533</v>
      </c>
    </row>
    <row r="22" spans="1:6">
      <c r="A22" t="s">
        <v>23</v>
      </c>
      <c r="B22" t="s">
        <v>534</v>
      </c>
      <c r="C22" t="s">
        <v>489</v>
      </c>
      <c r="D22" t="s">
        <v>490</v>
      </c>
      <c r="E22" t="s">
        <v>535</v>
      </c>
    </row>
    <row r="23" spans="1:6">
      <c r="A23" t="s">
        <v>148</v>
      </c>
      <c r="B23" t="s">
        <v>505</v>
      </c>
      <c r="C23" t="s">
        <v>464</v>
      </c>
      <c r="D23" t="s">
        <v>536</v>
      </c>
      <c r="E23" t="s">
        <v>537</v>
      </c>
      <c r="F23" s="1">
        <v>45513</v>
      </c>
    </row>
    <row r="24" spans="1:6">
      <c r="A24" t="s">
        <v>64</v>
      </c>
      <c r="B24" t="s">
        <v>538</v>
      </c>
      <c r="C24" t="s">
        <v>471</v>
      </c>
      <c r="D24" t="s">
        <v>472</v>
      </c>
      <c r="E24" t="s">
        <v>539</v>
      </c>
      <c r="F24" s="1">
        <v>45827</v>
      </c>
    </row>
    <row r="25" spans="1:6">
      <c r="A25" t="s">
        <v>446</v>
      </c>
      <c r="B25" t="s">
        <v>540</v>
      </c>
      <c r="C25" t="s">
        <v>35</v>
      </c>
      <c r="D25" t="s">
        <v>447</v>
      </c>
      <c r="E25" t="s">
        <v>541</v>
      </c>
    </row>
    <row r="26" spans="1:6">
      <c r="A26" t="s">
        <v>68</v>
      </c>
      <c r="B26" t="s">
        <v>542</v>
      </c>
      <c r="C26" t="s">
        <v>33</v>
      </c>
      <c r="D26" t="s">
        <v>465</v>
      </c>
      <c r="E26" t="s">
        <v>543</v>
      </c>
    </row>
    <row r="27" spans="1:6">
      <c r="A27" t="s">
        <v>140</v>
      </c>
      <c r="B27" t="s">
        <v>495</v>
      </c>
      <c r="C27" t="s">
        <v>453</v>
      </c>
      <c r="D27" t="s">
        <v>454</v>
      </c>
      <c r="E27" t="s">
        <v>544</v>
      </c>
      <c r="F27" s="1">
        <v>45303</v>
      </c>
    </row>
    <row r="28" spans="1:6">
      <c r="A28" t="s">
        <v>145</v>
      </c>
      <c r="B28" t="s">
        <v>506</v>
      </c>
      <c r="C28" t="s">
        <v>41</v>
      </c>
      <c r="D28" t="s">
        <v>470</v>
      </c>
      <c r="E28" t="s">
        <v>545</v>
      </c>
      <c r="F28" s="1"/>
    </row>
    <row r="29" spans="1:6">
      <c r="A29" t="s">
        <v>67</v>
      </c>
      <c r="B29" t="s">
        <v>546</v>
      </c>
      <c r="C29" t="s">
        <v>473</v>
      </c>
      <c r="D29" t="s">
        <v>470</v>
      </c>
      <c r="E29" t="s">
        <v>545</v>
      </c>
      <c r="F29" s="1">
        <v>45839</v>
      </c>
    </row>
    <row r="30" spans="1:6">
      <c r="A30" t="s">
        <v>56</v>
      </c>
      <c r="B30" t="s">
        <v>547</v>
      </c>
      <c r="C30" t="s">
        <v>456</v>
      </c>
      <c r="D30" t="s">
        <v>457</v>
      </c>
      <c r="E30" t="s">
        <v>548</v>
      </c>
      <c r="F30" s="1"/>
    </row>
    <row r="31" spans="1:6">
      <c r="A31" t="s">
        <v>62</v>
      </c>
      <c r="B31" t="s">
        <v>547</v>
      </c>
      <c r="C31" t="s">
        <v>456</v>
      </c>
      <c r="D31" t="s">
        <v>457</v>
      </c>
      <c r="E31" t="s">
        <v>548</v>
      </c>
      <c r="F31" s="1">
        <v>44770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0F15-B5AF-2B43-8EE8-D5A767C72F77}">
  <dimension ref="A1:P102"/>
  <sheetViews>
    <sheetView zoomScaleNormal="100" workbookViewId="0">
      <selection activeCell="D57" sqref="D57"/>
    </sheetView>
  </sheetViews>
  <sheetFormatPr baseColWidth="10" defaultRowHeight="16"/>
  <cols>
    <col min="1" max="1" width="22.83203125" bestFit="1" customWidth="1"/>
    <col min="3" max="3" width="12.33203125" customWidth="1"/>
    <col min="4" max="4" width="13.6640625" bestFit="1" customWidth="1"/>
    <col min="5" max="5" width="28.6640625" bestFit="1" customWidth="1"/>
    <col min="8" max="8" width="10.6640625" bestFit="1" customWidth="1"/>
    <col min="9" max="9" width="13.33203125" bestFit="1" customWidth="1"/>
    <col min="10" max="10" width="13.5" bestFit="1" customWidth="1"/>
    <col min="11" max="11" width="17.6640625" customWidth="1"/>
    <col min="12" max="14" width="14.6640625" customWidth="1"/>
    <col min="16" max="16" width="14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72</v>
      </c>
      <c r="N1" t="s">
        <v>73</v>
      </c>
      <c r="O1" t="s">
        <v>12</v>
      </c>
      <c r="P1" t="s">
        <v>13</v>
      </c>
    </row>
    <row r="2" spans="1:16" hidden="1">
      <c r="A2" t="s">
        <v>14</v>
      </c>
      <c r="B2" t="s">
        <v>15</v>
      </c>
      <c r="C2" s="1">
        <v>43949</v>
      </c>
      <c r="D2" t="s">
        <v>16</v>
      </c>
      <c r="E2" t="s">
        <v>17</v>
      </c>
      <c r="F2" t="s">
        <v>30</v>
      </c>
      <c r="G2" t="s">
        <v>18</v>
      </c>
      <c r="H2">
        <v>20</v>
      </c>
      <c r="I2">
        <v>353.75</v>
      </c>
      <c r="J2">
        <f>H2*I2</f>
        <v>7075</v>
      </c>
      <c r="K2">
        <v>1.25</v>
      </c>
      <c r="L2">
        <f>Table1[[#This Row],[Quantity]]*Table1[[#This Row],[BrokeragePerUnit]]</f>
        <v>25</v>
      </c>
      <c r="M2">
        <v>7</v>
      </c>
      <c r="N2">
        <v>0.45</v>
      </c>
      <c r="O2">
        <v>4.5199999999999996</v>
      </c>
      <c r="P2">
        <f>Table1[[#This Row],[Net Amount]]+Table1[[#This Row],[NetBrokerage]]+Table1[[#This Row],[STT]]+Table1[[#This Row],[Stamp Duty]]+Table1[[#This Row],[GST]]</f>
        <v>7111.97</v>
      </c>
    </row>
    <row r="3" spans="1:16" hidden="1">
      <c r="A3" t="s">
        <v>14</v>
      </c>
      <c r="B3" t="s">
        <v>15</v>
      </c>
      <c r="C3" s="1">
        <v>44018</v>
      </c>
      <c r="D3" t="s">
        <v>19</v>
      </c>
      <c r="E3" t="s">
        <v>20</v>
      </c>
      <c r="F3" t="s">
        <v>30</v>
      </c>
      <c r="G3" t="s">
        <v>18</v>
      </c>
      <c r="H3">
        <v>10</v>
      </c>
      <c r="I3">
        <v>1100</v>
      </c>
      <c r="J3">
        <f t="shared" ref="J3:J65" si="0">H3*I3</f>
        <v>11000</v>
      </c>
      <c r="K3">
        <v>6.05</v>
      </c>
      <c r="L3">
        <f>Table1[[#This Row],[Quantity]]*Table1[[#This Row],[BrokeragePerUnit]]</f>
        <v>60.5</v>
      </c>
      <c r="M3">
        <v>11</v>
      </c>
      <c r="N3">
        <v>2</v>
      </c>
      <c r="O3">
        <v>10.95</v>
      </c>
      <c r="P3">
        <f>Table1[[#This Row],[Net Amount]]+Table1[[#This Row],[NetBrokerage]]+Table1[[#This Row],[STT]]+Table1[[#This Row],[Stamp Duty]]+Table1[[#This Row],[GST]]</f>
        <v>11084.45</v>
      </c>
    </row>
    <row r="4" spans="1:16" hidden="1">
      <c r="A4" t="s">
        <v>14</v>
      </c>
      <c r="B4" t="s">
        <v>15</v>
      </c>
      <c r="C4" s="1">
        <v>44550</v>
      </c>
      <c r="D4" t="s">
        <v>21</v>
      </c>
      <c r="E4" t="s">
        <v>22</v>
      </c>
      <c r="F4" t="s">
        <v>30</v>
      </c>
      <c r="G4" t="s">
        <v>18</v>
      </c>
      <c r="H4">
        <v>62</v>
      </c>
      <c r="I4">
        <v>136.44999999999999</v>
      </c>
      <c r="J4">
        <f t="shared" si="0"/>
        <v>8459.9</v>
      </c>
      <c r="K4">
        <v>0.75</v>
      </c>
      <c r="L4">
        <f>Table1[[#This Row],[Quantity]]*Table1[[#This Row],[BrokeragePerUnit]]</f>
        <v>46.5</v>
      </c>
      <c r="M4">
        <v>0</v>
      </c>
      <c r="N4">
        <v>0</v>
      </c>
      <c r="O4">
        <v>0</v>
      </c>
      <c r="P4">
        <f>Table1[[#This Row],[Net Amount]]+Table1[[#This Row],[NetBrokerage]]+Table1[[#This Row],[STT]]+Table1[[#This Row],[Stamp Duty]]+Table1[[#This Row],[GST]]</f>
        <v>8506.4</v>
      </c>
    </row>
    <row r="5" spans="1:16" hidden="1">
      <c r="A5" t="s">
        <v>14</v>
      </c>
      <c r="B5" t="s">
        <v>15</v>
      </c>
      <c r="C5" s="1">
        <v>44550</v>
      </c>
      <c r="D5" t="s">
        <v>21</v>
      </c>
      <c r="E5" t="s">
        <v>22</v>
      </c>
      <c r="F5" t="s">
        <v>30</v>
      </c>
      <c r="G5" t="s">
        <v>18</v>
      </c>
      <c r="H5">
        <v>38</v>
      </c>
      <c r="I5">
        <v>136.44999999999999</v>
      </c>
      <c r="J5">
        <f t="shared" si="0"/>
        <v>5185.0999999999995</v>
      </c>
      <c r="K5">
        <v>0.75</v>
      </c>
      <c r="L5">
        <f>Table1[[#This Row],[Quantity]]*Table1[[#This Row],[BrokeragePerUnit]]</f>
        <v>28.5</v>
      </c>
      <c r="M5">
        <v>13.99</v>
      </c>
      <c r="N5">
        <v>2</v>
      </c>
      <c r="O5">
        <v>13.55</v>
      </c>
      <c r="P5">
        <f>Table1[[#This Row],[Net Amount]]+Table1[[#This Row],[NetBrokerage]]+Table1[[#This Row],[STT]]+Table1[[#This Row],[Stamp Duty]]+Table1[[#This Row],[GST]]</f>
        <v>5243.1399999999994</v>
      </c>
    </row>
    <row r="6" spans="1:16" hidden="1">
      <c r="A6" t="s">
        <v>14</v>
      </c>
      <c r="B6" t="s">
        <v>15</v>
      </c>
      <c r="C6" s="1">
        <v>44553</v>
      </c>
      <c r="D6" t="s">
        <v>19</v>
      </c>
      <c r="E6" t="s">
        <v>20</v>
      </c>
      <c r="F6" t="s">
        <v>30</v>
      </c>
      <c r="G6" t="s">
        <v>18</v>
      </c>
      <c r="H6">
        <v>10</v>
      </c>
      <c r="I6">
        <v>1450</v>
      </c>
      <c r="J6">
        <f t="shared" si="0"/>
        <v>14500</v>
      </c>
      <c r="K6">
        <v>7.97</v>
      </c>
      <c r="L6">
        <f>Table1[[#This Row],[Quantity]]*Table1[[#This Row],[BrokeragePerUnit]]</f>
        <v>79.7</v>
      </c>
      <c r="M6">
        <v>14.4</v>
      </c>
      <c r="N6">
        <v>2.1800000000000002</v>
      </c>
      <c r="O6">
        <v>14.4</v>
      </c>
      <c r="P6">
        <f>Table1[[#This Row],[Net Amount]]+Table1[[#This Row],[NetBrokerage]]+Table1[[#This Row],[STT]]+Table1[[#This Row],[Stamp Duty]]+Table1[[#This Row],[GST]]</f>
        <v>14610.68</v>
      </c>
    </row>
    <row r="7" spans="1:16" hidden="1">
      <c r="A7" t="s">
        <v>14</v>
      </c>
      <c r="B7" t="s">
        <v>15</v>
      </c>
      <c r="C7" s="1">
        <v>44553</v>
      </c>
      <c r="D7" t="s">
        <v>16</v>
      </c>
      <c r="E7" t="s">
        <v>17</v>
      </c>
      <c r="F7" t="s">
        <v>30</v>
      </c>
      <c r="G7" t="s">
        <v>18</v>
      </c>
      <c r="H7">
        <v>20</v>
      </c>
      <c r="I7">
        <v>730</v>
      </c>
      <c r="J7">
        <f t="shared" si="0"/>
        <v>14600</v>
      </c>
      <c r="K7">
        <v>4.0149999999999997</v>
      </c>
      <c r="L7">
        <f>Table1[[#This Row],[Quantity]]*Table1[[#This Row],[BrokeragePerUnit]]</f>
        <v>80.3</v>
      </c>
      <c r="M7">
        <v>14.6</v>
      </c>
      <c r="N7">
        <v>1.82</v>
      </c>
      <c r="O7">
        <v>14.5</v>
      </c>
      <c r="P7">
        <f>Table1[[#This Row],[Net Amount]]+Table1[[#This Row],[NetBrokerage]]+Table1[[#This Row],[STT]]+Table1[[#This Row],[Stamp Duty]]+Table1[[#This Row],[GST]]</f>
        <v>14711.22</v>
      </c>
    </row>
    <row r="8" spans="1:16" hidden="1">
      <c r="A8" t="s">
        <v>14</v>
      </c>
      <c r="B8" t="s">
        <v>15</v>
      </c>
      <c r="C8" s="1">
        <v>44559</v>
      </c>
      <c r="D8" t="s">
        <v>69</v>
      </c>
      <c r="E8" t="s">
        <v>70</v>
      </c>
      <c r="F8" t="s">
        <v>30</v>
      </c>
      <c r="G8" t="s">
        <v>71</v>
      </c>
      <c r="H8">
        <v>69</v>
      </c>
      <c r="I8">
        <v>216</v>
      </c>
      <c r="J8">
        <f>H8*I8</f>
        <v>14904</v>
      </c>
      <c r="L8">
        <f>H8*K8</f>
        <v>0</v>
      </c>
      <c r="P8">
        <f>J8+L8</f>
        <v>14904</v>
      </c>
    </row>
    <row r="9" spans="1:16" hidden="1">
      <c r="A9" t="s">
        <v>14</v>
      </c>
      <c r="B9" t="s">
        <v>15</v>
      </c>
      <c r="C9" s="1">
        <v>44880</v>
      </c>
      <c r="D9" t="s">
        <v>19</v>
      </c>
      <c r="E9" t="s">
        <v>20</v>
      </c>
      <c r="F9" t="s">
        <v>30</v>
      </c>
      <c r="G9" t="s">
        <v>18</v>
      </c>
      <c r="H9">
        <v>20</v>
      </c>
      <c r="I9">
        <v>1608.7</v>
      </c>
      <c r="J9">
        <f t="shared" si="0"/>
        <v>32174</v>
      </c>
      <c r="K9">
        <v>3.5</v>
      </c>
      <c r="L9">
        <f>Table1[[#This Row],[Quantity]]*Table1[[#This Row],[BrokeragePerUnit]]</f>
        <v>70</v>
      </c>
      <c r="M9">
        <v>32.17</v>
      </c>
      <c r="N9">
        <v>5.28</v>
      </c>
      <c r="O9">
        <v>12.93</v>
      </c>
      <c r="P9">
        <f>Table1[[#This Row],[Net Amount]]+Table1[[#This Row],[NetBrokerage]]+Table1[[#This Row],[STT]]+Table1[[#This Row],[Stamp Duty]]+Table1[[#This Row],[GST]]</f>
        <v>32294.379999999997</v>
      </c>
    </row>
    <row r="10" spans="1:16" hidden="1">
      <c r="A10" t="s">
        <v>14</v>
      </c>
      <c r="B10" t="s">
        <v>15</v>
      </c>
      <c r="C10" s="1">
        <v>44880</v>
      </c>
      <c r="D10" t="s">
        <v>16</v>
      </c>
      <c r="E10" t="s">
        <v>17</v>
      </c>
      <c r="F10" t="s">
        <v>30</v>
      </c>
      <c r="G10" t="s">
        <v>18</v>
      </c>
      <c r="H10">
        <v>20</v>
      </c>
      <c r="I10">
        <v>906.5</v>
      </c>
      <c r="J10">
        <f t="shared" si="0"/>
        <v>18130</v>
      </c>
      <c r="K10">
        <v>1.99</v>
      </c>
      <c r="L10">
        <f>Table1[[#This Row],[Quantity]]*Table1[[#This Row],[BrokeragePerUnit]]</f>
        <v>39.799999999999997</v>
      </c>
      <c r="M10">
        <v>17.82</v>
      </c>
      <c r="N10">
        <v>2.72</v>
      </c>
      <c r="O10">
        <v>7.28</v>
      </c>
      <c r="P10">
        <f>Table1[[#This Row],[Net Amount]]+Table1[[#This Row],[NetBrokerage]]+Table1[[#This Row],[STT]]+Table1[[#This Row],[Stamp Duty]]+Table1[[#This Row],[GST]]</f>
        <v>18197.62</v>
      </c>
    </row>
    <row r="11" spans="1:16" hidden="1">
      <c r="A11" t="s">
        <v>14</v>
      </c>
      <c r="B11" t="s">
        <v>15</v>
      </c>
      <c r="C11" s="1">
        <v>44880</v>
      </c>
      <c r="D11" t="s">
        <v>23</v>
      </c>
      <c r="E11" t="s">
        <v>24</v>
      </c>
      <c r="F11" t="s">
        <v>30</v>
      </c>
      <c r="G11" t="s">
        <v>18</v>
      </c>
      <c r="H11">
        <v>1</v>
      </c>
      <c r="I11">
        <v>43.8</v>
      </c>
      <c r="J11">
        <f t="shared" si="0"/>
        <v>43.8</v>
      </c>
      <c r="K11">
        <v>0.02</v>
      </c>
      <c r="L11">
        <f>Table1[[#This Row],[Quantity]]*Table1[[#This Row],[BrokeragePerUnit]]</f>
        <v>0.02</v>
      </c>
      <c r="P11">
        <f>Table1[[#This Row],[Net Amount]]+Table1[[#This Row],[NetBrokerage]]+Table1[[#This Row],[STT]]+Table1[[#This Row],[Stamp Duty]]+Table1[[#This Row],[GST]]</f>
        <v>43.82</v>
      </c>
    </row>
    <row r="12" spans="1:16" hidden="1">
      <c r="A12" t="s">
        <v>14</v>
      </c>
      <c r="B12" t="s">
        <v>15</v>
      </c>
      <c r="C12" s="1">
        <v>44880</v>
      </c>
      <c r="D12" t="s">
        <v>23</v>
      </c>
      <c r="E12" t="s">
        <v>24</v>
      </c>
      <c r="F12" t="s">
        <v>30</v>
      </c>
      <c r="G12" t="s">
        <v>25</v>
      </c>
      <c r="H12">
        <v>1</v>
      </c>
      <c r="I12">
        <v>43.75</v>
      </c>
      <c r="J12">
        <f t="shared" si="0"/>
        <v>43.75</v>
      </c>
      <c r="K12">
        <v>0.02</v>
      </c>
      <c r="L12">
        <f>Table1[[#This Row],[Quantity]]*Table1[[#This Row],[BrokeragePerUnit]]</f>
        <v>0.02</v>
      </c>
      <c r="P12">
        <f>Table1[[#This Row],[Net Amount]]+Table1[[#This Row],[NetBrokerage]]+Table1[[#This Row],[STT]]+Table1[[#This Row],[Stamp Duty]]+Table1[[#This Row],[GST]]</f>
        <v>43.77</v>
      </c>
    </row>
    <row r="13" spans="1:16" hidden="1">
      <c r="A13" t="s">
        <v>14</v>
      </c>
      <c r="B13" t="s">
        <v>15</v>
      </c>
      <c r="C13" s="1">
        <v>44882</v>
      </c>
      <c r="D13" t="s">
        <v>16</v>
      </c>
      <c r="E13" t="s">
        <v>17</v>
      </c>
      <c r="F13" t="s">
        <v>30</v>
      </c>
      <c r="G13" t="s">
        <v>18</v>
      </c>
      <c r="H13">
        <v>20</v>
      </c>
      <c r="I13">
        <v>918</v>
      </c>
      <c r="J13">
        <f t="shared" si="0"/>
        <v>18360</v>
      </c>
      <c r="K13">
        <v>2.0099999999999998</v>
      </c>
      <c r="L13">
        <f>Table1[[#This Row],[Quantity]]*Table1[[#This Row],[BrokeragePerUnit]]</f>
        <v>40.199999999999996</v>
      </c>
      <c r="M13">
        <v>18</v>
      </c>
      <c r="N13">
        <v>3</v>
      </c>
      <c r="O13">
        <v>7.36</v>
      </c>
      <c r="P13">
        <f>Table1[[#This Row],[Net Amount]]+Table1[[#This Row],[NetBrokerage]]+Table1[[#This Row],[STT]]+Table1[[#This Row],[Stamp Duty]]+Table1[[#This Row],[GST]]</f>
        <v>18428.560000000001</v>
      </c>
    </row>
    <row r="14" spans="1:16" hidden="1">
      <c r="A14" t="s">
        <v>14</v>
      </c>
      <c r="B14" t="s">
        <v>15</v>
      </c>
      <c r="C14" s="1">
        <v>44994</v>
      </c>
      <c r="D14" t="s">
        <v>19</v>
      </c>
      <c r="E14" t="s">
        <v>20</v>
      </c>
      <c r="F14" t="s">
        <v>30</v>
      </c>
      <c r="G14" t="s">
        <v>18</v>
      </c>
      <c r="H14">
        <v>30</v>
      </c>
      <c r="I14">
        <v>1635</v>
      </c>
      <c r="J14">
        <f t="shared" si="0"/>
        <v>49050</v>
      </c>
      <c r="K14">
        <v>3.59</v>
      </c>
      <c r="L14">
        <f>Table1[[#This Row],[Quantity]]*Table1[[#This Row],[BrokeragePerUnit]]</f>
        <v>107.69999999999999</v>
      </c>
      <c r="M14">
        <v>49</v>
      </c>
      <c r="N14">
        <v>7</v>
      </c>
      <c r="O14">
        <v>19.72</v>
      </c>
      <c r="P14">
        <f>Table1[[#This Row],[Net Amount]]+Table1[[#This Row],[NetBrokerage]]+Table1[[#This Row],[STT]]+Table1[[#This Row],[Stamp Duty]]+Table1[[#This Row],[GST]]</f>
        <v>49233.42</v>
      </c>
    </row>
    <row r="15" spans="1:16" hidden="1">
      <c r="A15" t="s">
        <v>14</v>
      </c>
      <c r="B15" t="s">
        <v>15</v>
      </c>
      <c r="C15" s="1">
        <v>45021</v>
      </c>
      <c r="D15" t="s">
        <v>16</v>
      </c>
      <c r="E15" t="s">
        <v>17</v>
      </c>
      <c r="F15" t="s">
        <v>30</v>
      </c>
      <c r="G15" t="s">
        <v>18</v>
      </c>
      <c r="H15">
        <v>20</v>
      </c>
      <c r="I15">
        <v>880</v>
      </c>
      <c r="J15">
        <f t="shared" si="0"/>
        <v>17600</v>
      </c>
      <c r="K15">
        <v>1.93</v>
      </c>
      <c r="L15">
        <f>Table1[[#This Row],[Quantity]]*Table1[[#This Row],[BrokeragePerUnit]]</f>
        <v>38.6</v>
      </c>
      <c r="M15">
        <v>17.600000000000001</v>
      </c>
      <c r="N15">
        <v>2.64</v>
      </c>
      <c r="O15">
        <v>7.06</v>
      </c>
      <c r="P15">
        <f>Table1[[#This Row],[Net Amount]]+Table1[[#This Row],[NetBrokerage]]+Table1[[#This Row],[STT]]+Table1[[#This Row],[Stamp Duty]]+Table1[[#This Row],[GST]]</f>
        <v>17665.899999999998</v>
      </c>
    </row>
    <row r="16" spans="1:16" hidden="1">
      <c r="A16" t="s">
        <v>14</v>
      </c>
      <c r="B16" t="s">
        <v>15</v>
      </c>
      <c r="C16" s="1">
        <v>45021</v>
      </c>
      <c r="D16" t="s">
        <v>21</v>
      </c>
      <c r="E16" t="s">
        <v>22</v>
      </c>
      <c r="F16" t="s">
        <v>30</v>
      </c>
      <c r="G16" t="s">
        <v>18</v>
      </c>
      <c r="H16">
        <v>100</v>
      </c>
      <c r="I16">
        <v>289.55</v>
      </c>
      <c r="J16">
        <f t="shared" si="0"/>
        <v>28955</v>
      </c>
      <c r="K16">
        <v>0.63</v>
      </c>
      <c r="L16">
        <f>Table1[[#This Row],[Quantity]]*Table1[[#This Row],[BrokeragePerUnit]]</f>
        <v>63</v>
      </c>
      <c r="M16">
        <v>29.39</v>
      </c>
      <c r="N16">
        <v>4.3600000000000003</v>
      </c>
      <c r="O16">
        <v>11.61</v>
      </c>
      <c r="P16">
        <f>Table1[[#This Row],[Net Amount]]+Table1[[#This Row],[NetBrokerage]]+Table1[[#This Row],[STT]]+Table1[[#This Row],[Stamp Duty]]+Table1[[#This Row],[GST]]</f>
        <v>29063.360000000001</v>
      </c>
    </row>
    <row r="17" spans="1:16" hidden="1">
      <c r="A17" t="s">
        <v>14</v>
      </c>
      <c r="B17" t="s">
        <v>15</v>
      </c>
      <c r="C17" s="1">
        <v>45026</v>
      </c>
      <c r="D17" t="s">
        <v>19</v>
      </c>
      <c r="E17" t="s">
        <v>20</v>
      </c>
      <c r="F17" t="s">
        <v>30</v>
      </c>
      <c r="G17" t="s">
        <v>18</v>
      </c>
      <c r="H17">
        <v>30</v>
      </c>
      <c r="I17">
        <v>1663</v>
      </c>
      <c r="J17">
        <f t="shared" si="0"/>
        <v>49890</v>
      </c>
      <c r="K17">
        <v>3.65</v>
      </c>
      <c r="L17">
        <f>Table1[[#This Row],[Quantity]]*Table1[[#This Row],[BrokeragePerUnit]]</f>
        <v>109.5</v>
      </c>
      <c r="M17">
        <v>50</v>
      </c>
      <c r="N17">
        <v>7</v>
      </c>
      <c r="O17">
        <v>20.010000000000002</v>
      </c>
      <c r="P17">
        <f>Table1[[#This Row],[Net Amount]]+Table1[[#This Row],[NetBrokerage]]+Table1[[#This Row],[STT]]+Table1[[#This Row],[Stamp Duty]]+Table1[[#This Row],[GST]]</f>
        <v>50076.51</v>
      </c>
    </row>
    <row r="18" spans="1:16" hidden="1">
      <c r="A18" t="s">
        <v>14</v>
      </c>
      <c r="B18" t="s">
        <v>15</v>
      </c>
      <c r="C18" s="1">
        <v>45758</v>
      </c>
      <c r="D18" t="s">
        <v>26</v>
      </c>
      <c r="E18" t="s">
        <v>27</v>
      </c>
      <c r="G18" t="s">
        <v>25</v>
      </c>
      <c r="H18">
        <v>20</v>
      </c>
      <c r="I18">
        <v>984</v>
      </c>
      <c r="J18">
        <f t="shared" si="0"/>
        <v>19680</v>
      </c>
      <c r="L18">
        <f>Table1[[#This Row],[Quantity]]*Table1[[#This Row],[BrokeragePerUnit]]</f>
        <v>0</v>
      </c>
      <c r="P18">
        <f>Table1[[#This Row],[Net Amount]]+Table1[[#This Row],[NetBrokerage]]+Table1[[#This Row],[STT]]+Table1[[#This Row],[Stamp Duty]]+Table1[[#This Row],[GST]]</f>
        <v>19680</v>
      </c>
    </row>
    <row r="19" spans="1:16" hidden="1">
      <c r="A19" t="s">
        <v>14</v>
      </c>
      <c r="B19" t="s">
        <v>15</v>
      </c>
      <c r="C19" s="1">
        <v>45758</v>
      </c>
      <c r="D19" t="s">
        <v>26</v>
      </c>
      <c r="E19" t="s">
        <v>27</v>
      </c>
      <c r="G19" t="s">
        <v>25</v>
      </c>
      <c r="H19">
        <v>180</v>
      </c>
      <c r="I19">
        <v>984</v>
      </c>
      <c r="J19">
        <f t="shared" si="0"/>
        <v>177120</v>
      </c>
      <c r="L19">
        <f>Table1[[#This Row],[Quantity]]*Table1[[#This Row],[BrokeragePerUnit]]</f>
        <v>0</v>
      </c>
      <c r="P19">
        <f>Table1[[#This Row],[Net Amount]]+Table1[[#This Row],[NetBrokerage]]+Table1[[#This Row],[STT]]+Table1[[#This Row],[Stamp Duty]]+Table1[[#This Row],[GST]]</f>
        <v>177120</v>
      </c>
    </row>
    <row r="20" spans="1:16" hidden="1">
      <c r="A20" t="s">
        <v>14</v>
      </c>
      <c r="B20" t="s">
        <v>15</v>
      </c>
      <c r="C20" s="1">
        <v>45895</v>
      </c>
      <c r="D20" t="s">
        <v>19</v>
      </c>
      <c r="E20" t="s">
        <v>20</v>
      </c>
      <c r="F20" t="s">
        <v>57</v>
      </c>
      <c r="G20" t="s">
        <v>58</v>
      </c>
      <c r="H20">
        <v>100</v>
      </c>
      <c r="J20">
        <f>H20*I20</f>
        <v>0</v>
      </c>
      <c r="L20">
        <f>H20*K20</f>
        <v>0</v>
      </c>
      <c r="P20">
        <f>J20+L20</f>
        <v>0</v>
      </c>
    </row>
    <row r="21" spans="1:16" hidden="1">
      <c r="A21" t="s">
        <v>14</v>
      </c>
      <c r="B21" t="s">
        <v>28</v>
      </c>
      <c r="C21" s="1">
        <v>41624</v>
      </c>
      <c r="D21" t="s">
        <v>56</v>
      </c>
      <c r="E21" t="s">
        <v>29</v>
      </c>
      <c r="F21" t="s">
        <v>30</v>
      </c>
      <c r="G21" t="s">
        <v>31</v>
      </c>
      <c r="H21">
        <v>4</v>
      </c>
      <c r="I21">
        <v>410.64</v>
      </c>
      <c r="J21">
        <f t="shared" si="0"/>
        <v>1642.56</v>
      </c>
      <c r="P21">
        <v>1642.56</v>
      </c>
    </row>
    <row r="22" spans="1:16" hidden="1">
      <c r="A22" t="s">
        <v>14</v>
      </c>
      <c r="B22" t="s">
        <v>28</v>
      </c>
      <c r="C22" s="1">
        <v>41940</v>
      </c>
      <c r="D22" t="s">
        <v>53</v>
      </c>
      <c r="E22" t="s">
        <v>55</v>
      </c>
      <c r="F22" t="s">
        <v>30</v>
      </c>
      <c r="G22" t="s">
        <v>31</v>
      </c>
      <c r="H22">
        <v>2</v>
      </c>
      <c r="I22">
        <v>1581.45</v>
      </c>
      <c r="J22">
        <f t="shared" si="0"/>
        <v>3162.9</v>
      </c>
      <c r="K22">
        <v>12.5</v>
      </c>
      <c r="L22">
        <f>H22*K22</f>
        <v>25</v>
      </c>
      <c r="P22">
        <f>J22+L22</f>
        <v>3187.9</v>
      </c>
    </row>
    <row r="23" spans="1:16" hidden="1">
      <c r="A23" t="s">
        <v>14</v>
      </c>
      <c r="B23" t="s">
        <v>28</v>
      </c>
      <c r="C23" s="1">
        <v>41940</v>
      </c>
      <c r="D23" t="s">
        <v>38</v>
      </c>
      <c r="E23" t="s">
        <v>54</v>
      </c>
      <c r="F23" t="s">
        <v>30</v>
      </c>
      <c r="G23" t="s">
        <v>31</v>
      </c>
      <c r="H23">
        <v>50</v>
      </c>
      <c r="I23">
        <v>68.7</v>
      </c>
      <c r="J23">
        <f t="shared" si="0"/>
        <v>3435</v>
      </c>
      <c r="K23">
        <v>0.5</v>
      </c>
      <c r="L23">
        <f t="shared" ref="L23:L67" si="1">H23*K23</f>
        <v>25</v>
      </c>
      <c r="P23">
        <f t="shared" ref="P23:P67" si="2">J23+L23</f>
        <v>3460</v>
      </c>
    </row>
    <row r="24" spans="1:16" hidden="1">
      <c r="A24" t="s">
        <v>14</v>
      </c>
      <c r="B24" t="s">
        <v>28</v>
      </c>
      <c r="C24" s="1">
        <v>41940</v>
      </c>
      <c r="D24" t="s">
        <v>56</v>
      </c>
      <c r="E24" t="s">
        <v>29</v>
      </c>
      <c r="F24" t="s">
        <v>30</v>
      </c>
      <c r="G24" t="s">
        <v>31</v>
      </c>
      <c r="H24">
        <v>10</v>
      </c>
      <c r="I24">
        <v>452.7</v>
      </c>
      <c r="J24">
        <f t="shared" si="0"/>
        <v>4527</v>
      </c>
      <c r="K24">
        <v>2.5</v>
      </c>
      <c r="L24">
        <f t="shared" si="1"/>
        <v>25</v>
      </c>
      <c r="P24">
        <f t="shared" si="2"/>
        <v>4552</v>
      </c>
    </row>
    <row r="25" spans="1:16" hidden="1">
      <c r="A25" t="s">
        <v>14</v>
      </c>
      <c r="B25" t="s">
        <v>28</v>
      </c>
      <c r="C25" s="1">
        <v>41942</v>
      </c>
      <c r="D25" t="s">
        <v>38</v>
      </c>
      <c r="E25" t="s">
        <v>54</v>
      </c>
      <c r="F25" t="s">
        <v>30</v>
      </c>
      <c r="G25" t="s">
        <v>31</v>
      </c>
      <c r="H25">
        <v>50</v>
      </c>
      <c r="I25">
        <v>68</v>
      </c>
      <c r="J25">
        <f t="shared" si="0"/>
        <v>3400</v>
      </c>
      <c r="K25">
        <v>0.5</v>
      </c>
      <c r="L25">
        <f t="shared" si="1"/>
        <v>25</v>
      </c>
      <c r="P25">
        <f t="shared" si="2"/>
        <v>3425</v>
      </c>
    </row>
    <row r="26" spans="1:16" hidden="1">
      <c r="A26" t="s">
        <v>14</v>
      </c>
      <c r="B26" t="s">
        <v>28</v>
      </c>
      <c r="C26" s="1">
        <v>41960</v>
      </c>
      <c r="D26" t="s">
        <v>53</v>
      </c>
      <c r="E26" t="s">
        <v>55</v>
      </c>
      <c r="F26" t="s">
        <v>30</v>
      </c>
      <c r="G26" t="s">
        <v>31</v>
      </c>
      <c r="H26">
        <v>2</v>
      </c>
      <c r="I26">
        <v>1613.3</v>
      </c>
      <c r="J26">
        <f t="shared" si="0"/>
        <v>3226.6</v>
      </c>
      <c r="K26">
        <v>12.5</v>
      </c>
      <c r="L26">
        <f t="shared" si="1"/>
        <v>25</v>
      </c>
      <c r="P26">
        <f t="shared" si="2"/>
        <v>3251.6</v>
      </c>
    </row>
    <row r="27" spans="1:16" hidden="1">
      <c r="A27" t="s">
        <v>14</v>
      </c>
      <c r="B27" t="s">
        <v>28</v>
      </c>
      <c r="C27" s="1">
        <v>42059</v>
      </c>
      <c r="D27" t="s">
        <v>56</v>
      </c>
      <c r="E27" t="s">
        <v>29</v>
      </c>
      <c r="F27" t="s">
        <v>30</v>
      </c>
      <c r="G27" t="s">
        <v>31</v>
      </c>
      <c r="H27">
        <v>20</v>
      </c>
      <c r="I27">
        <v>360</v>
      </c>
      <c r="J27">
        <f t="shared" si="0"/>
        <v>7200</v>
      </c>
      <c r="K27">
        <v>1.8</v>
      </c>
      <c r="L27">
        <f t="shared" si="1"/>
        <v>36</v>
      </c>
      <c r="P27">
        <f t="shared" si="2"/>
        <v>7236</v>
      </c>
    </row>
    <row r="28" spans="1:16" hidden="1">
      <c r="A28" t="s">
        <v>14</v>
      </c>
      <c r="B28" t="s">
        <v>28</v>
      </c>
      <c r="C28" s="1">
        <v>42065</v>
      </c>
      <c r="D28" t="s">
        <v>56</v>
      </c>
      <c r="E28" t="s">
        <v>29</v>
      </c>
      <c r="F28" t="s">
        <v>30</v>
      </c>
      <c r="G28" t="s">
        <v>31</v>
      </c>
      <c r="H28">
        <v>20</v>
      </c>
      <c r="I28">
        <v>350</v>
      </c>
      <c r="J28">
        <f t="shared" si="0"/>
        <v>7000</v>
      </c>
      <c r="K28">
        <v>1.75</v>
      </c>
      <c r="L28">
        <f t="shared" si="1"/>
        <v>35</v>
      </c>
      <c r="P28">
        <f t="shared" si="2"/>
        <v>7035</v>
      </c>
    </row>
    <row r="29" spans="1:16" hidden="1">
      <c r="A29" t="s">
        <v>14</v>
      </c>
      <c r="B29" t="s">
        <v>28</v>
      </c>
      <c r="C29" s="1">
        <v>42156</v>
      </c>
      <c r="D29" t="s">
        <v>53</v>
      </c>
      <c r="E29" t="s">
        <v>55</v>
      </c>
      <c r="F29" t="s">
        <v>30</v>
      </c>
      <c r="G29" t="s">
        <v>31</v>
      </c>
      <c r="H29">
        <v>3</v>
      </c>
      <c r="I29">
        <v>1700</v>
      </c>
      <c r="J29">
        <f t="shared" si="0"/>
        <v>5100</v>
      </c>
      <c r="K29">
        <v>8.5</v>
      </c>
      <c r="L29">
        <f t="shared" si="1"/>
        <v>25.5</v>
      </c>
      <c r="P29">
        <f t="shared" si="2"/>
        <v>5125.5</v>
      </c>
    </row>
    <row r="30" spans="1:16" hidden="1">
      <c r="A30" t="s">
        <v>14</v>
      </c>
      <c r="B30" t="s">
        <v>28</v>
      </c>
      <c r="C30" s="1">
        <v>42156</v>
      </c>
      <c r="D30" t="s">
        <v>53</v>
      </c>
      <c r="E30" t="s">
        <v>55</v>
      </c>
      <c r="F30" t="s">
        <v>30</v>
      </c>
      <c r="G30" t="s">
        <v>31</v>
      </c>
      <c r="H30">
        <v>2</v>
      </c>
      <c r="I30">
        <v>1700</v>
      </c>
      <c r="J30">
        <f t="shared" si="0"/>
        <v>3400</v>
      </c>
      <c r="K30">
        <v>8.5</v>
      </c>
      <c r="L30">
        <f t="shared" si="1"/>
        <v>17</v>
      </c>
      <c r="P30">
        <f t="shared" si="2"/>
        <v>3417</v>
      </c>
    </row>
    <row r="31" spans="1:16" hidden="1">
      <c r="A31" t="s">
        <v>14</v>
      </c>
      <c r="B31" t="s">
        <v>28</v>
      </c>
      <c r="C31" s="1">
        <v>42167</v>
      </c>
      <c r="D31" t="s">
        <v>56</v>
      </c>
      <c r="E31" t="s">
        <v>29</v>
      </c>
      <c r="F31" t="s">
        <v>30</v>
      </c>
      <c r="G31" t="s">
        <v>31</v>
      </c>
      <c r="H31">
        <v>30</v>
      </c>
      <c r="I31">
        <v>298</v>
      </c>
      <c r="J31">
        <f t="shared" si="0"/>
        <v>8940</v>
      </c>
      <c r="K31">
        <v>1.49</v>
      </c>
      <c r="L31">
        <f t="shared" si="1"/>
        <v>44.7</v>
      </c>
      <c r="P31">
        <f t="shared" si="2"/>
        <v>8984.7000000000007</v>
      </c>
    </row>
    <row r="32" spans="1:16" hidden="1">
      <c r="A32" t="s">
        <v>14</v>
      </c>
      <c r="B32" t="s">
        <v>28</v>
      </c>
      <c r="C32" s="1">
        <v>42170</v>
      </c>
      <c r="D32" t="s">
        <v>50</v>
      </c>
      <c r="E32" t="s">
        <v>32</v>
      </c>
      <c r="F32" t="s">
        <v>30</v>
      </c>
      <c r="G32" t="s">
        <v>31</v>
      </c>
      <c r="H32">
        <v>3</v>
      </c>
      <c r="I32">
        <v>992</v>
      </c>
      <c r="J32">
        <f t="shared" si="0"/>
        <v>2976</v>
      </c>
      <c r="K32">
        <v>4.96</v>
      </c>
      <c r="L32">
        <f t="shared" si="1"/>
        <v>14.879999999999999</v>
      </c>
      <c r="P32">
        <f t="shared" si="2"/>
        <v>2990.88</v>
      </c>
    </row>
    <row r="33" spans="1:16" hidden="1">
      <c r="A33" t="s">
        <v>14</v>
      </c>
      <c r="B33" t="s">
        <v>28</v>
      </c>
      <c r="C33" s="1">
        <v>42170</v>
      </c>
      <c r="D33" t="s">
        <v>50</v>
      </c>
      <c r="E33" t="s">
        <v>32</v>
      </c>
      <c r="F33" t="s">
        <v>30</v>
      </c>
      <c r="G33" t="s">
        <v>31</v>
      </c>
      <c r="H33">
        <v>10</v>
      </c>
      <c r="I33">
        <v>992</v>
      </c>
      <c r="J33">
        <f t="shared" si="0"/>
        <v>9920</v>
      </c>
      <c r="K33">
        <v>4.96</v>
      </c>
      <c r="L33">
        <f t="shared" si="1"/>
        <v>49.6</v>
      </c>
      <c r="P33">
        <f t="shared" si="2"/>
        <v>9969.6</v>
      </c>
    </row>
    <row r="34" spans="1:16" hidden="1">
      <c r="A34" t="s">
        <v>14</v>
      </c>
      <c r="B34" t="s">
        <v>28</v>
      </c>
      <c r="C34" s="1">
        <v>42170</v>
      </c>
      <c r="D34" t="s">
        <v>50</v>
      </c>
      <c r="E34" t="s">
        <v>32</v>
      </c>
      <c r="F34" t="s">
        <v>30</v>
      </c>
      <c r="G34" t="s">
        <v>31</v>
      </c>
      <c r="H34">
        <v>20</v>
      </c>
      <c r="I34">
        <v>990</v>
      </c>
      <c r="J34">
        <f t="shared" si="0"/>
        <v>19800</v>
      </c>
      <c r="K34">
        <v>4.95</v>
      </c>
      <c r="L34">
        <f t="shared" si="1"/>
        <v>99</v>
      </c>
      <c r="P34">
        <f t="shared" si="2"/>
        <v>19899</v>
      </c>
    </row>
    <row r="35" spans="1:16" hidden="1">
      <c r="A35" t="s">
        <v>14</v>
      </c>
      <c r="B35" t="s">
        <v>28</v>
      </c>
      <c r="C35" s="1">
        <v>42170</v>
      </c>
      <c r="D35" t="s">
        <v>50</v>
      </c>
      <c r="E35" t="s">
        <v>32</v>
      </c>
      <c r="F35" t="s">
        <v>30</v>
      </c>
      <c r="G35" t="s">
        <v>31</v>
      </c>
      <c r="H35">
        <v>20</v>
      </c>
      <c r="I35">
        <v>992</v>
      </c>
      <c r="J35">
        <f t="shared" si="0"/>
        <v>19840</v>
      </c>
      <c r="K35">
        <v>4.96</v>
      </c>
      <c r="L35">
        <f t="shared" si="1"/>
        <v>99.2</v>
      </c>
      <c r="P35">
        <f t="shared" si="2"/>
        <v>19939.2</v>
      </c>
    </row>
    <row r="36" spans="1:16" hidden="1">
      <c r="A36" t="s">
        <v>14</v>
      </c>
      <c r="B36" t="s">
        <v>28</v>
      </c>
      <c r="C36" s="1">
        <v>42174</v>
      </c>
      <c r="D36" t="s">
        <v>68</v>
      </c>
      <c r="E36" t="s">
        <v>33</v>
      </c>
      <c r="F36" t="s">
        <v>30</v>
      </c>
      <c r="G36" t="s">
        <v>31</v>
      </c>
      <c r="H36">
        <v>10</v>
      </c>
      <c r="I36">
        <v>60.7</v>
      </c>
      <c r="J36">
        <f t="shared" si="0"/>
        <v>607</v>
      </c>
      <c r="K36">
        <v>0.5</v>
      </c>
      <c r="L36">
        <f t="shared" si="1"/>
        <v>5</v>
      </c>
      <c r="P36">
        <f t="shared" si="2"/>
        <v>612</v>
      </c>
    </row>
    <row r="37" spans="1:16" hidden="1">
      <c r="A37" t="s">
        <v>14</v>
      </c>
      <c r="B37" t="s">
        <v>28</v>
      </c>
      <c r="C37" s="1">
        <v>42174</v>
      </c>
      <c r="D37" t="s">
        <v>68</v>
      </c>
      <c r="E37" t="s">
        <v>33</v>
      </c>
      <c r="F37" t="s">
        <v>30</v>
      </c>
      <c r="G37" t="s">
        <v>31</v>
      </c>
      <c r="H37">
        <v>40</v>
      </c>
      <c r="I37">
        <v>60.7</v>
      </c>
      <c r="J37">
        <f t="shared" si="0"/>
        <v>2428</v>
      </c>
      <c r="K37">
        <v>0.5</v>
      </c>
      <c r="L37">
        <f t="shared" si="1"/>
        <v>20</v>
      </c>
      <c r="P37">
        <f t="shared" si="2"/>
        <v>2448</v>
      </c>
    </row>
    <row r="38" spans="1:16" hidden="1">
      <c r="A38" t="s">
        <v>14</v>
      </c>
      <c r="B38" t="s">
        <v>28</v>
      </c>
      <c r="C38" s="1">
        <v>42230</v>
      </c>
      <c r="D38" t="s">
        <v>68</v>
      </c>
      <c r="E38" t="s">
        <v>33</v>
      </c>
      <c r="F38" t="s">
        <v>30</v>
      </c>
      <c r="G38" t="s">
        <v>31</v>
      </c>
      <c r="H38">
        <v>50</v>
      </c>
      <c r="I38">
        <v>55</v>
      </c>
      <c r="J38">
        <f t="shared" si="0"/>
        <v>2750</v>
      </c>
      <c r="K38">
        <v>0.5</v>
      </c>
      <c r="L38">
        <f t="shared" si="1"/>
        <v>25</v>
      </c>
      <c r="P38">
        <f t="shared" si="2"/>
        <v>2775</v>
      </c>
    </row>
    <row r="39" spans="1:16" hidden="1">
      <c r="A39" t="s">
        <v>14</v>
      </c>
      <c r="B39" t="s">
        <v>28</v>
      </c>
      <c r="C39" s="1">
        <v>42234</v>
      </c>
      <c r="D39" t="s">
        <v>56</v>
      </c>
      <c r="E39" t="s">
        <v>29</v>
      </c>
      <c r="F39" t="s">
        <v>30</v>
      </c>
      <c r="G39" t="s">
        <v>31</v>
      </c>
      <c r="H39">
        <v>9</v>
      </c>
      <c r="I39">
        <v>249</v>
      </c>
      <c r="J39">
        <f t="shared" si="0"/>
        <v>2241</v>
      </c>
      <c r="K39">
        <v>1.56</v>
      </c>
      <c r="L39">
        <f t="shared" si="1"/>
        <v>14.040000000000001</v>
      </c>
      <c r="P39">
        <f t="shared" si="2"/>
        <v>2255.04</v>
      </c>
    </row>
    <row r="40" spans="1:16" hidden="1">
      <c r="A40" t="s">
        <v>14</v>
      </c>
      <c r="B40" t="s">
        <v>28</v>
      </c>
      <c r="C40" s="1">
        <v>42234</v>
      </c>
      <c r="D40" t="s">
        <v>56</v>
      </c>
      <c r="E40" t="s">
        <v>29</v>
      </c>
      <c r="F40" t="s">
        <v>30</v>
      </c>
      <c r="G40" t="s">
        <v>31</v>
      </c>
      <c r="H40">
        <v>5</v>
      </c>
      <c r="I40">
        <v>249</v>
      </c>
      <c r="J40">
        <f t="shared" si="0"/>
        <v>1245</v>
      </c>
      <c r="K40">
        <v>1.56</v>
      </c>
      <c r="L40">
        <f t="shared" si="1"/>
        <v>7.8000000000000007</v>
      </c>
      <c r="P40">
        <f t="shared" si="2"/>
        <v>1252.8</v>
      </c>
    </row>
    <row r="41" spans="1:16" hidden="1">
      <c r="A41" t="s">
        <v>14</v>
      </c>
      <c r="B41" t="s">
        <v>28</v>
      </c>
      <c r="C41" s="1">
        <v>42234</v>
      </c>
      <c r="D41" t="s">
        <v>56</v>
      </c>
      <c r="E41" t="s">
        <v>29</v>
      </c>
      <c r="F41" t="s">
        <v>30</v>
      </c>
      <c r="G41" t="s">
        <v>31</v>
      </c>
      <c r="H41">
        <v>1</v>
      </c>
      <c r="I41">
        <v>249</v>
      </c>
      <c r="J41">
        <f t="shared" si="0"/>
        <v>249</v>
      </c>
      <c r="K41">
        <v>1.56</v>
      </c>
      <c r="L41">
        <f t="shared" si="1"/>
        <v>1.56</v>
      </c>
      <c r="P41">
        <f t="shared" si="2"/>
        <v>250.56</v>
      </c>
    </row>
    <row r="42" spans="1:16" hidden="1">
      <c r="A42" t="s">
        <v>14</v>
      </c>
      <c r="B42" t="s">
        <v>28</v>
      </c>
      <c r="C42" s="1">
        <v>42234</v>
      </c>
      <c r="D42" t="s">
        <v>56</v>
      </c>
      <c r="E42" t="s">
        <v>29</v>
      </c>
      <c r="F42" t="s">
        <v>30</v>
      </c>
      <c r="G42" t="s">
        <v>31</v>
      </c>
      <c r="H42">
        <v>1</v>
      </c>
      <c r="I42">
        <v>249</v>
      </c>
      <c r="J42">
        <f t="shared" si="0"/>
        <v>249</v>
      </c>
      <c r="K42">
        <v>1.56</v>
      </c>
      <c r="L42">
        <f t="shared" si="1"/>
        <v>1.56</v>
      </c>
      <c r="P42">
        <f t="shared" si="2"/>
        <v>250.56</v>
      </c>
    </row>
    <row r="43" spans="1:16" hidden="1">
      <c r="A43" t="s">
        <v>14</v>
      </c>
      <c r="B43" t="s">
        <v>28</v>
      </c>
      <c r="C43" s="1">
        <v>42933</v>
      </c>
      <c r="D43" t="s">
        <v>53</v>
      </c>
      <c r="E43" t="s">
        <v>55</v>
      </c>
      <c r="F43" t="s">
        <v>57</v>
      </c>
      <c r="G43" t="s">
        <v>58</v>
      </c>
      <c r="H43">
        <v>4</v>
      </c>
      <c r="J43">
        <f>H43*I43</f>
        <v>0</v>
      </c>
      <c r="L43">
        <f>H43*K43</f>
        <v>0</v>
      </c>
      <c r="P43">
        <f>J43+L43</f>
        <v>0</v>
      </c>
    </row>
    <row r="44" spans="1:16" hidden="1">
      <c r="A44" t="s">
        <v>14</v>
      </c>
      <c r="B44" t="s">
        <v>28</v>
      </c>
      <c r="C44" s="1">
        <v>43350</v>
      </c>
      <c r="D44" t="s">
        <v>50</v>
      </c>
      <c r="E44" t="s">
        <v>32</v>
      </c>
      <c r="F44" t="s">
        <v>57</v>
      </c>
      <c r="G44" t="s">
        <v>58</v>
      </c>
      <c r="H44">
        <v>53</v>
      </c>
      <c r="J44">
        <f>H44*I44</f>
        <v>0</v>
      </c>
      <c r="L44">
        <f>H44*K44</f>
        <v>0</v>
      </c>
      <c r="P44">
        <f>J44+L44</f>
        <v>0</v>
      </c>
    </row>
    <row r="45" spans="1:16" hidden="1">
      <c r="A45" t="s">
        <v>14</v>
      </c>
      <c r="B45" t="s">
        <v>28</v>
      </c>
      <c r="C45" s="1">
        <v>43916</v>
      </c>
      <c r="D45" t="s">
        <v>34</v>
      </c>
      <c r="E45" t="s">
        <v>35</v>
      </c>
      <c r="F45" t="s">
        <v>30</v>
      </c>
      <c r="G45" t="s">
        <v>31</v>
      </c>
      <c r="H45">
        <v>50</v>
      </c>
      <c r="I45">
        <v>1085</v>
      </c>
      <c r="J45">
        <f t="shared" si="0"/>
        <v>54250</v>
      </c>
      <c r="K45">
        <v>5.43</v>
      </c>
      <c r="L45">
        <f t="shared" si="1"/>
        <v>271.5</v>
      </c>
      <c r="P45">
        <f t="shared" si="2"/>
        <v>54521.5</v>
      </c>
    </row>
    <row r="46" spans="1:16" hidden="1">
      <c r="A46" t="s">
        <v>14</v>
      </c>
      <c r="B46" t="s">
        <v>28</v>
      </c>
      <c r="C46" s="1">
        <v>43917</v>
      </c>
      <c r="D46" t="s">
        <v>36</v>
      </c>
      <c r="E46" t="s">
        <v>37</v>
      </c>
      <c r="F46" t="s">
        <v>30</v>
      </c>
      <c r="G46" t="s">
        <v>18</v>
      </c>
      <c r="H46">
        <v>6</v>
      </c>
      <c r="I46">
        <v>10000</v>
      </c>
      <c r="J46">
        <f t="shared" si="0"/>
        <v>60000</v>
      </c>
      <c r="K46">
        <v>50</v>
      </c>
      <c r="L46">
        <f t="shared" si="1"/>
        <v>300</v>
      </c>
      <c r="P46">
        <f t="shared" si="2"/>
        <v>60300</v>
      </c>
    </row>
    <row r="47" spans="1:16" hidden="1">
      <c r="A47" t="s">
        <v>14</v>
      </c>
      <c r="B47" t="s">
        <v>28</v>
      </c>
      <c r="C47" s="1">
        <v>43917</v>
      </c>
      <c r="D47" t="s">
        <v>38</v>
      </c>
      <c r="E47" t="s">
        <v>54</v>
      </c>
      <c r="F47" t="s">
        <v>30</v>
      </c>
      <c r="G47" t="s">
        <v>18</v>
      </c>
      <c r="H47">
        <v>50</v>
      </c>
      <c r="I47">
        <v>55</v>
      </c>
      <c r="J47">
        <f t="shared" si="0"/>
        <v>2750</v>
      </c>
      <c r="K47">
        <v>0.5</v>
      </c>
      <c r="L47">
        <f t="shared" si="1"/>
        <v>25</v>
      </c>
      <c r="P47">
        <f t="shared" si="2"/>
        <v>2775</v>
      </c>
    </row>
    <row r="48" spans="1:16" hidden="1">
      <c r="A48" t="s">
        <v>14</v>
      </c>
      <c r="B48" t="s">
        <v>28</v>
      </c>
      <c r="C48" s="1">
        <v>43917</v>
      </c>
      <c r="D48" t="s">
        <v>39</v>
      </c>
      <c r="E48" t="s">
        <v>55</v>
      </c>
      <c r="F48" t="s">
        <v>30</v>
      </c>
      <c r="G48" t="s">
        <v>18</v>
      </c>
      <c r="H48">
        <v>30</v>
      </c>
      <c r="I48">
        <v>880</v>
      </c>
      <c r="J48">
        <f t="shared" si="0"/>
        <v>26400</v>
      </c>
      <c r="K48">
        <v>4.4000000000000004</v>
      </c>
      <c r="L48">
        <f t="shared" si="1"/>
        <v>132</v>
      </c>
      <c r="P48">
        <f t="shared" si="2"/>
        <v>26532</v>
      </c>
    </row>
    <row r="49" spans="1:16" hidden="1">
      <c r="A49" t="s">
        <v>14</v>
      </c>
      <c r="B49" t="s">
        <v>28</v>
      </c>
      <c r="C49" s="1">
        <v>44253</v>
      </c>
      <c r="D49" t="s">
        <v>38</v>
      </c>
      <c r="E49" t="s">
        <v>54</v>
      </c>
      <c r="F49" t="s">
        <v>30</v>
      </c>
      <c r="G49" t="s">
        <v>61</v>
      </c>
      <c r="H49">
        <v>34</v>
      </c>
      <c r="I49">
        <v>65</v>
      </c>
      <c r="J49">
        <f>H49*I49</f>
        <v>2210</v>
      </c>
      <c r="L49">
        <f>H49*K49</f>
        <v>0</v>
      </c>
      <c r="P49">
        <f>J49+L49</f>
        <v>2210</v>
      </c>
    </row>
    <row r="50" spans="1:16" hidden="1">
      <c r="A50" t="s">
        <v>14</v>
      </c>
      <c r="B50" t="s">
        <v>28</v>
      </c>
      <c r="C50" s="1">
        <v>44355</v>
      </c>
      <c r="D50" t="s">
        <v>40</v>
      </c>
      <c r="E50" t="s">
        <v>41</v>
      </c>
      <c r="F50" t="s">
        <v>30</v>
      </c>
      <c r="G50" t="s">
        <v>18</v>
      </c>
      <c r="H50">
        <v>50</v>
      </c>
      <c r="I50">
        <v>340</v>
      </c>
      <c r="J50">
        <f t="shared" si="0"/>
        <v>17000</v>
      </c>
      <c r="K50">
        <v>1.7</v>
      </c>
      <c r="L50">
        <f t="shared" si="1"/>
        <v>85</v>
      </c>
      <c r="P50">
        <f t="shared" si="2"/>
        <v>17085</v>
      </c>
    </row>
    <row r="51" spans="1:16" hidden="1">
      <c r="A51" t="s">
        <v>14</v>
      </c>
      <c r="B51" t="s">
        <v>28</v>
      </c>
      <c r="C51" s="1">
        <v>44356</v>
      </c>
      <c r="D51" t="s">
        <v>42</v>
      </c>
      <c r="E51" t="s">
        <v>43</v>
      </c>
      <c r="F51" t="s">
        <v>30</v>
      </c>
      <c r="G51" t="s">
        <v>18</v>
      </c>
      <c r="H51">
        <v>200</v>
      </c>
      <c r="I51">
        <v>40.5</v>
      </c>
      <c r="J51">
        <f t="shared" si="0"/>
        <v>8100</v>
      </c>
      <c r="K51">
        <v>0.2</v>
      </c>
      <c r="L51">
        <f t="shared" si="1"/>
        <v>40</v>
      </c>
      <c r="P51">
        <f t="shared" si="2"/>
        <v>8140</v>
      </c>
    </row>
    <row r="52" spans="1:16" hidden="1">
      <c r="A52" t="s">
        <v>14</v>
      </c>
      <c r="B52" t="s">
        <v>28</v>
      </c>
      <c r="C52" s="1">
        <v>44356</v>
      </c>
      <c r="D52" t="s">
        <v>44</v>
      </c>
      <c r="E52" t="s">
        <v>45</v>
      </c>
      <c r="F52" t="s">
        <v>30</v>
      </c>
      <c r="G52" t="s">
        <v>18</v>
      </c>
      <c r="H52">
        <v>50</v>
      </c>
      <c r="I52">
        <v>137.55000000000001</v>
      </c>
      <c r="J52">
        <f t="shared" si="0"/>
        <v>6877.5000000000009</v>
      </c>
      <c r="K52">
        <v>0.68</v>
      </c>
      <c r="L52">
        <f t="shared" si="1"/>
        <v>34</v>
      </c>
      <c r="P52">
        <f t="shared" si="2"/>
        <v>6911.5000000000009</v>
      </c>
    </row>
    <row r="53" spans="1:16" hidden="1">
      <c r="A53" t="s">
        <v>14</v>
      </c>
      <c r="B53" t="s">
        <v>28</v>
      </c>
      <c r="C53" s="1">
        <v>44356</v>
      </c>
      <c r="D53" t="s">
        <v>46</v>
      </c>
      <c r="E53" t="s">
        <v>47</v>
      </c>
      <c r="F53" t="s">
        <v>30</v>
      </c>
      <c r="G53" t="s">
        <v>18</v>
      </c>
      <c r="H53">
        <v>500</v>
      </c>
      <c r="I53">
        <v>26.85</v>
      </c>
      <c r="J53">
        <f t="shared" si="0"/>
        <v>13425</v>
      </c>
      <c r="K53">
        <v>0.13</v>
      </c>
      <c r="L53">
        <f t="shared" si="1"/>
        <v>65</v>
      </c>
      <c r="P53">
        <f t="shared" si="2"/>
        <v>13490</v>
      </c>
    </row>
    <row r="54" spans="1:16">
      <c r="A54" t="s">
        <v>14</v>
      </c>
      <c r="B54" t="s">
        <v>28</v>
      </c>
      <c r="C54" s="1">
        <v>44411</v>
      </c>
      <c r="D54" t="s">
        <v>48</v>
      </c>
      <c r="E54" t="s">
        <v>49</v>
      </c>
      <c r="F54" t="s">
        <v>30</v>
      </c>
      <c r="G54" t="s">
        <v>18</v>
      </c>
      <c r="H54">
        <v>1</v>
      </c>
      <c r="I54">
        <v>2463.1999999999998</v>
      </c>
      <c r="J54">
        <f t="shared" si="0"/>
        <v>2463.1999999999998</v>
      </c>
      <c r="K54">
        <v>12.31</v>
      </c>
      <c r="L54">
        <f t="shared" si="1"/>
        <v>12.31</v>
      </c>
      <c r="P54">
        <f t="shared" si="2"/>
        <v>2475.5099999999998</v>
      </c>
    </row>
    <row r="55" spans="1:16">
      <c r="A55" t="s">
        <v>14</v>
      </c>
      <c r="B55" t="s">
        <v>28</v>
      </c>
      <c r="C55" s="1">
        <v>44411</v>
      </c>
      <c r="D55" t="s">
        <v>48</v>
      </c>
      <c r="E55" t="s">
        <v>49</v>
      </c>
      <c r="F55" t="s">
        <v>30</v>
      </c>
      <c r="G55" t="s">
        <v>18</v>
      </c>
      <c r="H55">
        <v>19</v>
      </c>
      <c r="I55">
        <v>2463.35</v>
      </c>
      <c r="J55">
        <f t="shared" si="0"/>
        <v>46803.65</v>
      </c>
      <c r="K55">
        <v>12.31</v>
      </c>
      <c r="L55">
        <f t="shared" si="1"/>
        <v>233.89000000000001</v>
      </c>
      <c r="P55">
        <f t="shared" si="2"/>
        <v>47037.54</v>
      </c>
    </row>
    <row r="56" spans="1:16">
      <c r="A56" t="s">
        <v>14</v>
      </c>
      <c r="B56" t="s">
        <v>28</v>
      </c>
      <c r="C56" s="1">
        <v>44499</v>
      </c>
      <c r="D56" t="s">
        <v>48</v>
      </c>
      <c r="E56" t="s">
        <v>49</v>
      </c>
      <c r="F56" t="s">
        <v>59</v>
      </c>
      <c r="G56" t="s">
        <v>60</v>
      </c>
      <c r="H56">
        <v>-20</v>
      </c>
      <c r="I56">
        <v>0</v>
      </c>
      <c r="J56">
        <f>H56*I56</f>
        <v>0</v>
      </c>
      <c r="L56">
        <f>H56*K56</f>
        <v>0</v>
      </c>
      <c r="P56">
        <f>J56+L56</f>
        <v>0</v>
      </c>
    </row>
    <row r="57" spans="1:16">
      <c r="A57" t="s">
        <v>14</v>
      </c>
      <c r="B57" t="s">
        <v>28</v>
      </c>
      <c r="C57" s="1">
        <v>44499</v>
      </c>
      <c r="D57" t="s">
        <v>63</v>
      </c>
      <c r="E57" t="s">
        <v>49</v>
      </c>
      <c r="F57" t="s">
        <v>59</v>
      </c>
      <c r="G57" t="s">
        <v>60</v>
      </c>
      <c r="H57">
        <v>100</v>
      </c>
      <c r="I57">
        <v>0</v>
      </c>
      <c r="J57">
        <f>H57*I57</f>
        <v>0</v>
      </c>
      <c r="L57">
        <f>H57*K57</f>
        <v>0</v>
      </c>
      <c r="P57">
        <f>J57+L57</f>
        <v>0</v>
      </c>
    </row>
    <row r="58" spans="1:16" hidden="1">
      <c r="A58" t="s">
        <v>14</v>
      </c>
      <c r="B58" t="s">
        <v>28</v>
      </c>
      <c r="C58" s="1">
        <v>44545</v>
      </c>
      <c r="D58" t="s">
        <v>44</v>
      </c>
      <c r="E58" t="s">
        <v>45</v>
      </c>
      <c r="F58" t="s">
        <v>30</v>
      </c>
      <c r="G58" t="s">
        <v>61</v>
      </c>
      <c r="H58">
        <v>5</v>
      </c>
      <c r="I58">
        <v>150</v>
      </c>
      <c r="J58">
        <f>H58*I58</f>
        <v>750</v>
      </c>
      <c r="L58">
        <f>H58*K58</f>
        <v>0</v>
      </c>
      <c r="P58">
        <f>J58+L58</f>
        <v>750</v>
      </c>
    </row>
    <row r="59" spans="1:16" hidden="1">
      <c r="A59" t="s">
        <v>14</v>
      </c>
      <c r="B59" t="s">
        <v>28</v>
      </c>
      <c r="C59" s="1">
        <v>45078</v>
      </c>
      <c r="D59" t="s">
        <v>50</v>
      </c>
      <c r="E59" t="s">
        <v>32</v>
      </c>
      <c r="F59" t="s">
        <v>30</v>
      </c>
      <c r="G59" t="s">
        <v>18</v>
      </c>
      <c r="H59">
        <v>20</v>
      </c>
      <c r="I59">
        <v>1325</v>
      </c>
      <c r="J59">
        <f t="shared" si="0"/>
        <v>26500</v>
      </c>
      <c r="K59">
        <v>6.63</v>
      </c>
      <c r="L59">
        <f t="shared" si="1"/>
        <v>132.6</v>
      </c>
      <c r="P59">
        <f t="shared" si="2"/>
        <v>26632.6</v>
      </c>
    </row>
    <row r="60" spans="1:16" hidden="1">
      <c r="A60" t="s">
        <v>14</v>
      </c>
      <c r="B60" t="s">
        <v>28</v>
      </c>
      <c r="C60" s="1">
        <v>44772</v>
      </c>
      <c r="D60" t="s">
        <v>56</v>
      </c>
      <c r="E60" t="s">
        <v>29</v>
      </c>
      <c r="F60" t="s">
        <v>59</v>
      </c>
      <c r="G60" t="s">
        <v>60</v>
      </c>
      <c r="H60">
        <v>-100</v>
      </c>
      <c r="J60">
        <f>H60*I60</f>
        <v>0</v>
      </c>
      <c r="L60">
        <f>H60*K60</f>
        <v>0</v>
      </c>
      <c r="P60">
        <f>J60+L60</f>
        <v>0</v>
      </c>
    </row>
    <row r="61" spans="1:16" hidden="1">
      <c r="A61" t="s">
        <v>14</v>
      </c>
      <c r="B61" t="s">
        <v>28</v>
      </c>
      <c r="C61" s="1">
        <v>44772</v>
      </c>
      <c r="D61" t="s">
        <v>62</v>
      </c>
      <c r="E61" t="s">
        <v>29</v>
      </c>
      <c r="F61" t="s">
        <v>59</v>
      </c>
      <c r="G61" t="s">
        <v>60</v>
      </c>
      <c r="H61">
        <v>1000</v>
      </c>
      <c r="I61">
        <v>0</v>
      </c>
      <c r="J61">
        <v>0</v>
      </c>
      <c r="L61">
        <f>H61*K61</f>
        <v>0</v>
      </c>
      <c r="P61">
        <f>J61+L61</f>
        <v>0</v>
      </c>
    </row>
    <row r="62" spans="1:16" hidden="1">
      <c r="A62" t="s">
        <v>14</v>
      </c>
      <c r="B62" t="s">
        <v>28</v>
      </c>
      <c r="C62" s="1">
        <v>45642</v>
      </c>
      <c r="D62" t="s">
        <v>52</v>
      </c>
      <c r="E62" t="s">
        <v>43</v>
      </c>
      <c r="F62" t="s">
        <v>30</v>
      </c>
      <c r="G62" t="s">
        <v>31</v>
      </c>
      <c r="H62">
        <v>500</v>
      </c>
      <c r="I62">
        <v>25.15</v>
      </c>
      <c r="J62">
        <f t="shared" si="0"/>
        <v>12575</v>
      </c>
      <c r="K62">
        <v>0.19</v>
      </c>
      <c r="L62">
        <f t="shared" si="1"/>
        <v>95</v>
      </c>
      <c r="P62">
        <f t="shared" si="2"/>
        <v>12670</v>
      </c>
    </row>
    <row r="63" spans="1:16" hidden="1">
      <c r="A63" t="s">
        <v>14</v>
      </c>
      <c r="B63" t="s">
        <v>28</v>
      </c>
      <c r="C63" s="1">
        <v>45644</v>
      </c>
      <c r="D63" t="s">
        <v>51</v>
      </c>
      <c r="E63" t="s">
        <v>47</v>
      </c>
      <c r="F63" t="s">
        <v>30</v>
      </c>
      <c r="G63" t="s">
        <v>31</v>
      </c>
      <c r="H63">
        <v>100</v>
      </c>
      <c r="I63">
        <v>54</v>
      </c>
      <c r="J63">
        <f t="shared" si="0"/>
        <v>5400</v>
      </c>
      <c r="K63">
        <v>0.27</v>
      </c>
      <c r="L63">
        <f t="shared" si="1"/>
        <v>27</v>
      </c>
      <c r="P63">
        <f t="shared" si="2"/>
        <v>5427</v>
      </c>
    </row>
    <row r="64" spans="1:16" hidden="1">
      <c r="A64" t="s">
        <v>14</v>
      </c>
      <c r="B64" t="s">
        <v>28</v>
      </c>
      <c r="C64" s="1">
        <v>45644</v>
      </c>
      <c r="D64" t="s">
        <v>53</v>
      </c>
      <c r="E64" t="s">
        <v>55</v>
      </c>
      <c r="F64" t="s">
        <v>30</v>
      </c>
      <c r="G64" t="s">
        <v>18</v>
      </c>
      <c r="H64">
        <v>7</v>
      </c>
      <c r="I64">
        <v>3776.35</v>
      </c>
      <c r="J64">
        <f t="shared" si="0"/>
        <v>26434.45</v>
      </c>
      <c r="K64">
        <v>18.88</v>
      </c>
      <c r="L64">
        <f t="shared" si="1"/>
        <v>132.16</v>
      </c>
      <c r="P64">
        <f t="shared" si="2"/>
        <v>26566.61</v>
      </c>
    </row>
    <row r="65" spans="1:16" hidden="1">
      <c r="A65" t="s">
        <v>14</v>
      </c>
      <c r="B65" t="s">
        <v>28</v>
      </c>
      <c r="C65" s="1">
        <v>45644</v>
      </c>
      <c r="D65" t="s">
        <v>50</v>
      </c>
      <c r="E65" t="s">
        <v>32</v>
      </c>
      <c r="F65" t="s">
        <v>30</v>
      </c>
      <c r="G65" t="s">
        <v>18</v>
      </c>
      <c r="H65">
        <v>4</v>
      </c>
      <c r="I65">
        <v>1971</v>
      </c>
      <c r="J65">
        <f t="shared" si="0"/>
        <v>7884</v>
      </c>
      <c r="K65">
        <v>9.85</v>
      </c>
      <c r="L65">
        <f t="shared" si="1"/>
        <v>39.4</v>
      </c>
      <c r="P65">
        <f t="shared" si="2"/>
        <v>7923.4</v>
      </c>
    </row>
    <row r="66" spans="1:16" hidden="1">
      <c r="A66" t="s">
        <v>14</v>
      </c>
      <c r="B66" t="s">
        <v>28</v>
      </c>
      <c r="C66" s="1">
        <v>45646</v>
      </c>
      <c r="D66" t="s">
        <v>44</v>
      </c>
      <c r="E66" t="s">
        <v>45</v>
      </c>
      <c r="F66" t="s">
        <v>30</v>
      </c>
      <c r="G66" t="s">
        <v>31</v>
      </c>
      <c r="H66">
        <v>5</v>
      </c>
      <c r="I66">
        <v>855</v>
      </c>
      <c r="J66">
        <f t="shared" ref="J66:J67" si="3">H66*I66</f>
        <v>4275</v>
      </c>
      <c r="K66">
        <v>5</v>
      </c>
      <c r="L66">
        <f t="shared" si="1"/>
        <v>25</v>
      </c>
      <c r="P66">
        <f t="shared" si="2"/>
        <v>4300</v>
      </c>
    </row>
    <row r="67" spans="1:16" hidden="1">
      <c r="A67" t="s">
        <v>14</v>
      </c>
      <c r="B67" t="s">
        <v>28</v>
      </c>
      <c r="C67" s="1">
        <v>45646</v>
      </c>
      <c r="D67" t="s">
        <v>38</v>
      </c>
      <c r="E67" t="s">
        <v>54</v>
      </c>
      <c r="F67" t="s">
        <v>30</v>
      </c>
      <c r="G67" t="s">
        <v>31</v>
      </c>
      <c r="H67">
        <v>6</v>
      </c>
      <c r="I67">
        <v>137</v>
      </c>
      <c r="J67">
        <f t="shared" si="3"/>
        <v>822</v>
      </c>
      <c r="K67">
        <v>3.42</v>
      </c>
      <c r="L67">
        <f t="shared" si="1"/>
        <v>20.52</v>
      </c>
      <c r="P67">
        <f t="shared" si="2"/>
        <v>842.52</v>
      </c>
    </row>
    <row r="68" spans="1:16" hidden="1">
      <c r="A68" t="s">
        <v>14</v>
      </c>
      <c r="B68" t="s">
        <v>28</v>
      </c>
      <c r="C68" s="1">
        <v>45764</v>
      </c>
      <c r="D68" t="s">
        <v>64</v>
      </c>
      <c r="E68" t="s">
        <v>65</v>
      </c>
      <c r="F68" t="s">
        <v>59</v>
      </c>
      <c r="G68" t="s">
        <v>60</v>
      </c>
      <c r="H68">
        <v>50</v>
      </c>
      <c r="I68">
        <v>0</v>
      </c>
      <c r="J68">
        <f>H68*I68</f>
        <v>0</v>
      </c>
      <c r="L68">
        <f>H68*K68</f>
        <v>0</v>
      </c>
      <c r="P68">
        <f>J68+L68</f>
        <v>0</v>
      </c>
    </row>
    <row r="69" spans="1:16" hidden="1">
      <c r="A69" t="s">
        <v>14</v>
      </c>
      <c r="B69" t="s">
        <v>28</v>
      </c>
      <c r="C69" s="1">
        <v>45946</v>
      </c>
      <c r="D69" t="s">
        <v>67</v>
      </c>
      <c r="E69" t="s">
        <v>66</v>
      </c>
      <c r="F69" t="s">
        <v>59</v>
      </c>
      <c r="G69" t="s">
        <v>60</v>
      </c>
      <c r="H69">
        <v>50</v>
      </c>
      <c r="I69">
        <v>0</v>
      </c>
      <c r="J69">
        <f>H69*I69</f>
        <v>0</v>
      </c>
      <c r="K69">
        <v>0</v>
      </c>
      <c r="L69">
        <f>H69*K69</f>
        <v>0</v>
      </c>
      <c r="P69">
        <f>J69+L69</f>
        <v>0</v>
      </c>
    </row>
    <row r="70" spans="1:16" hidden="1">
      <c r="A70" t="s">
        <v>82</v>
      </c>
      <c r="B70" t="s">
        <v>15</v>
      </c>
      <c r="C70" s="1">
        <v>44707</v>
      </c>
      <c r="D70" t="s">
        <v>16</v>
      </c>
      <c r="E70" t="s">
        <v>17</v>
      </c>
      <c r="F70" t="s">
        <v>30</v>
      </c>
      <c r="G70" t="s">
        <v>18</v>
      </c>
      <c r="H70">
        <v>2</v>
      </c>
      <c r="I70">
        <v>718.95</v>
      </c>
      <c r="J70">
        <f t="shared" ref="J70:J96" si="4">H70*I70</f>
        <v>1437.9</v>
      </c>
      <c r="K70">
        <v>5.39</v>
      </c>
      <c r="L70">
        <f t="shared" ref="L70:L96" si="5">H70*K70</f>
        <v>10.78</v>
      </c>
      <c r="M70">
        <v>0</v>
      </c>
      <c r="N70">
        <v>0</v>
      </c>
      <c r="O70">
        <v>1.94</v>
      </c>
      <c r="P70">
        <f>Table1[[#This Row],[Net Amount]]+Table1[[#This Row],[NetBrokerage]]+Table1[[#This Row],[STT]]+Table1[[#This Row],[Stamp Duty]]+Table1[[#This Row],[GST]]</f>
        <v>1450.6200000000001</v>
      </c>
    </row>
    <row r="71" spans="1:16" hidden="1">
      <c r="A71" t="s">
        <v>82</v>
      </c>
      <c r="B71" t="s">
        <v>15</v>
      </c>
      <c r="C71" s="1">
        <v>44707</v>
      </c>
      <c r="D71" t="s">
        <v>16</v>
      </c>
      <c r="E71" t="s">
        <v>17</v>
      </c>
      <c r="F71" t="s">
        <v>30</v>
      </c>
      <c r="G71" t="s">
        <v>25</v>
      </c>
      <c r="H71">
        <v>2</v>
      </c>
      <c r="I71">
        <v>718.25</v>
      </c>
      <c r="J71">
        <f t="shared" si="4"/>
        <v>1436.5</v>
      </c>
      <c r="K71">
        <v>0</v>
      </c>
      <c r="L71">
        <f t="shared" si="5"/>
        <v>0</v>
      </c>
      <c r="M71">
        <v>0</v>
      </c>
      <c r="N71">
        <v>0</v>
      </c>
      <c r="O71">
        <v>1.95</v>
      </c>
      <c r="P71">
        <f>Table1[[#This Row],[Net Amount]]+Table1[[#This Row],[NetBrokerage]]+Table1[[#This Row],[STT]]+Table1[[#This Row],[Stamp Duty]]+Table1[[#This Row],[GST]]</f>
        <v>1438.45</v>
      </c>
    </row>
    <row r="72" spans="1:16" hidden="1">
      <c r="A72" t="s">
        <v>82</v>
      </c>
      <c r="B72" t="s">
        <v>15</v>
      </c>
      <c r="C72" s="1">
        <v>44823</v>
      </c>
      <c r="D72" t="s">
        <v>136</v>
      </c>
      <c r="E72" t="s">
        <v>137</v>
      </c>
      <c r="F72" t="s">
        <v>30</v>
      </c>
      <c r="G72" t="s">
        <v>18</v>
      </c>
      <c r="H72">
        <v>100</v>
      </c>
      <c r="I72">
        <v>51.45</v>
      </c>
      <c r="J72">
        <f t="shared" si="4"/>
        <v>5145</v>
      </c>
      <c r="K72">
        <v>0.25</v>
      </c>
      <c r="L72">
        <f t="shared" si="5"/>
        <v>25</v>
      </c>
      <c r="M72">
        <v>4.99</v>
      </c>
      <c r="N72">
        <v>1</v>
      </c>
      <c r="O72">
        <v>4.5199999999999996</v>
      </c>
      <c r="P72">
        <f>Table1[[#This Row],[Net Amount]]+Table1[[#This Row],[NetBrokerage]]+Table1[[#This Row],[STT]]+Table1[[#This Row],[Stamp Duty]]+Table1[[#This Row],[GST]]</f>
        <v>5180.51</v>
      </c>
    </row>
    <row r="73" spans="1:16" hidden="1">
      <c r="A73" t="s">
        <v>82</v>
      </c>
      <c r="B73" t="s">
        <v>15</v>
      </c>
      <c r="C73" s="1">
        <v>44984</v>
      </c>
      <c r="D73" t="s">
        <v>138</v>
      </c>
      <c r="E73" t="s">
        <v>139</v>
      </c>
      <c r="F73" t="s">
        <v>30</v>
      </c>
      <c r="G73" t="s">
        <v>18</v>
      </c>
      <c r="H73">
        <v>50</v>
      </c>
      <c r="I73">
        <v>850</v>
      </c>
      <c r="J73">
        <f t="shared" si="4"/>
        <v>42500</v>
      </c>
      <c r="K73">
        <v>1.87</v>
      </c>
      <c r="L73">
        <f t="shared" si="5"/>
        <v>93.5</v>
      </c>
      <c r="M73">
        <v>43</v>
      </c>
      <c r="N73">
        <v>6.38</v>
      </c>
      <c r="O73">
        <v>17.079999999999998</v>
      </c>
      <c r="P73">
        <f>Table1[[#This Row],[Net Amount]]+Table1[[#This Row],[NetBrokerage]]+Table1[[#This Row],[STT]]+Table1[[#This Row],[Stamp Duty]]+Table1[[#This Row],[GST]]</f>
        <v>42659.96</v>
      </c>
    </row>
    <row r="74" spans="1:16" hidden="1">
      <c r="A74" t="s">
        <v>82</v>
      </c>
      <c r="B74" t="s">
        <v>15</v>
      </c>
      <c r="C74" s="1">
        <v>44984</v>
      </c>
      <c r="D74" t="s">
        <v>136</v>
      </c>
      <c r="E74" t="s">
        <v>137</v>
      </c>
      <c r="F74" t="s">
        <v>30</v>
      </c>
      <c r="G74" t="s">
        <v>18</v>
      </c>
      <c r="H74">
        <v>1000</v>
      </c>
      <c r="I74">
        <v>54</v>
      </c>
      <c r="J74">
        <f t="shared" si="4"/>
        <v>54000</v>
      </c>
      <c r="K74">
        <v>0.11</v>
      </c>
      <c r="L74">
        <f t="shared" si="5"/>
        <v>110</v>
      </c>
      <c r="M74">
        <v>54</v>
      </c>
      <c r="N74">
        <v>7.62</v>
      </c>
      <c r="O74">
        <v>21.61</v>
      </c>
      <c r="P74">
        <f>Table1[[#This Row],[Net Amount]]+Table1[[#This Row],[NetBrokerage]]+Table1[[#This Row],[STT]]+Table1[[#This Row],[Stamp Duty]]+Table1[[#This Row],[GST]]</f>
        <v>54193.23</v>
      </c>
    </row>
    <row r="75" spans="1:16" hidden="1">
      <c r="A75" t="s">
        <v>82</v>
      </c>
      <c r="B75" t="s">
        <v>15</v>
      </c>
      <c r="C75" s="1">
        <v>44994</v>
      </c>
      <c r="D75" t="s">
        <v>138</v>
      </c>
      <c r="E75" t="s">
        <v>139</v>
      </c>
      <c r="F75" t="s">
        <v>30</v>
      </c>
      <c r="G75" t="s">
        <v>18</v>
      </c>
      <c r="H75">
        <v>5</v>
      </c>
      <c r="I75">
        <v>870</v>
      </c>
      <c r="J75">
        <f t="shared" si="4"/>
        <v>4350</v>
      </c>
      <c r="K75">
        <v>2.5</v>
      </c>
      <c r="L75">
        <f t="shared" si="5"/>
        <v>12.5</v>
      </c>
      <c r="M75">
        <v>0</v>
      </c>
      <c r="N75">
        <v>0</v>
      </c>
      <c r="O75">
        <v>0</v>
      </c>
      <c r="P75">
        <f>Table1[[#This Row],[Net Amount]]+Table1[[#This Row],[NetBrokerage]]+Table1[[#This Row],[STT]]+Table1[[#This Row],[Stamp Duty]]+Table1[[#This Row],[GST]]</f>
        <v>4362.5</v>
      </c>
    </row>
    <row r="76" spans="1:16" hidden="1">
      <c r="A76" t="s">
        <v>82</v>
      </c>
      <c r="B76" t="s">
        <v>15</v>
      </c>
      <c r="C76" s="1">
        <v>44994</v>
      </c>
      <c r="D76" t="s">
        <v>138</v>
      </c>
      <c r="E76" t="s">
        <v>139</v>
      </c>
      <c r="F76" t="s">
        <v>30</v>
      </c>
      <c r="G76" t="s">
        <v>18</v>
      </c>
      <c r="H76">
        <v>5</v>
      </c>
      <c r="I76">
        <v>870</v>
      </c>
      <c r="J76">
        <f t="shared" si="4"/>
        <v>4350</v>
      </c>
      <c r="K76">
        <v>2.5</v>
      </c>
      <c r="L76">
        <f t="shared" si="5"/>
        <v>12.5</v>
      </c>
      <c r="M76">
        <v>9</v>
      </c>
      <c r="N76">
        <v>1</v>
      </c>
      <c r="O76">
        <v>4.55</v>
      </c>
      <c r="P76">
        <f>Table1[[#This Row],[Net Amount]]+Table1[[#This Row],[NetBrokerage]]+Table1[[#This Row],[STT]]+Table1[[#This Row],[Stamp Duty]]+Table1[[#This Row],[GST]]</f>
        <v>4377.05</v>
      </c>
    </row>
    <row r="77" spans="1:16" hidden="1">
      <c r="A77" t="s">
        <v>82</v>
      </c>
      <c r="B77" t="s">
        <v>15</v>
      </c>
      <c r="C77" s="1">
        <v>45321</v>
      </c>
      <c r="D77" t="s">
        <v>136</v>
      </c>
      <c r="E77" t="s">
        <v>137</v>
      </c>
      <c r="F77" t="s">
        <v>30</v>
      </c>
      <c r="G77" t="s">
        <v>18</v>
      </c>
      <c r="H77">
        <v>400</v>
      </c>
      <c r="I77">
        <v>83</v>
      </c>
      <c r="J77">
        <f t="shared" si="4"/>
        <v>33200</v>
      </c>
      <c r="K77">
        <v>0.182</v>
      </c>
      <c r="L77">
        <f t="shared" si="5"/>
        <v>72.8</v>
      </c>
      <c r="M77">
        <v>33</v>
      </c>
      <c r="N77">
        <v>5</v>
      </c>
      <c r="O77">
        <v>13.33</v>
      </c>
      <c r="P77">
        <f>Table1[[#This Row],[Net Amount]]+Table1[[#This Row],[NetBrokerage]]+Table1[[#This Row],[STT]]+Table1[[#This Row],[Stamp Duty]]+Table1[[#This Row],[GST]]</f>
        <v>33324.130000000005</v>
      </c>
    </row>
    <row r="78" spans="1:16" hidden="1">
      <c r="A78" t="s">
        <v>82</v>
      </c>
      <c r="B78" t="s">
        <v>15</v>
      </c>
      <c r="C78" s="1">
        <v>45470</v>
      </c>
      <c r="D78" t="s">
        <v>150</v>
      </c>
      <c r="E78" t="s">
        <v>151</v>
      </c>
      <c r="F78" t="s">
        <v>30</v>
      </c>
      <c r="G78" t="s">
        <v>18</v>
      </c>
      <c r="H78">
        <v>10</v>
      </c>
      <c r="I78">
        <v>19.66</v>
      </c>
      <c r="J78">
        <f>H78*I78</f>
        <v>196.6</v>
      </c>
      <c r="K78">
        <v>0.14699999999999999</v>
      </c>
      <c r="L78">
        <f>H78*K78</f>
        <v>1.47</v>
      </c>
      <c r="M78">
        <v>0</v>
      </c>
      <c r="N78">
        <v>0</v>
      </c>
      <c r="O78">
        <v>0.26</v>
      </c>
      <c r="P78">
        <f>J78+L78</f>
        <v>198.07</v>
      </c>
    </row>
    <row r="79" spans="1:16" hidden="1">
      <c r="A79" t="s">
        <v>82</v>
      </c>
      <c r="B79" t="s">
        <v>15</v>
      </c>
      <c r="C79" s="1">
        <v>45517</v>
      </c>
      <c r="D79" t="s">
        <v>140</v>
      </c>
      <c r="E79" t="s">
        <v>147</v>
      </c>
      <c r="F79" t="s">
        <v>30</v>
      </c>
      <c r="G79" t="s">
        <v>18</v>
      </c>
      <c r="H79">
        <v>50</v>
      </c>
      <c r="I79">
        <v>83.1</v>
      </c>
      <c r="J79">
        <f t="shared" si="4"/>
        <v>4155</v>
      </c>
      <c r="K79">
        <v>0.5</v>
      </c>
      <c r="L79">
        <f t="shared" si="5"/>
        <v>25</v>
      </c>
      <c r="M79">
        <v>0</v>
      </c>
      <c r="N79">
        <v>0</v>
      </c>
      <c r="O79">
        <v>4.5199999999999996</v>
      </c>
      <c r="P79">
        <f>Table1[[#This Row],[Net Amount]]+Table1[[#This Row],[NetBrokerage]]+Table1[[#This Row],[STT]]+Table1[[#This Row],[Stamp Duty]]+Table1[[#This Row],[GST]]</f>
        <v>4184.5200000000004</v>
      </c>
    </row>
    <row r="80" spans="1:16" hidden="1">
      <c r="A80" t="s">
        <v>82</v>
      </c>
      <c r="B80" t="s">
        <v>15</v>
      </c>
      <c r="C80" s="1">
        <v>45517</v>
      </c>
      <c r="D80" t="s">
        <v>140</v>
      </c>
      <c r="E80" t="s">
        <v>147</v>
      </c>
      <c r="F80" t="s">
        <v>30</v>
      </c>
      <c r="G80" t="s">
        <v>25</v>
      </c>
      <c r="H80">
        <v>31</v>
      </c>
      <c r="I80">
        <v>82.65</v>
      </c>
      <c r="J80">
        <f t="shared" si="4"/>
        <v>2562.15</v>
      </c>
      <c r="K80">
        <v>0</v>
      </c>
      <c r="L80">
        <f t="shared" si="5"/>
        <v>0</v>
      </c>
      <c r="M80">
        <v>0</v>
      </c>
      <c r="N80">
        <v>0</v>
      </c>
      <c r="P80">
        <f>Table1[[#This Row],[Net Amount]]+Table1[[#This Row],[NetBrokerage]]+Table1[[#This Row],[STT]]+Table1[[#This Row],[Stamp Duty]]+Table1[[#This Row],[GST]]</f>
        <v>2562.15</v>
      </c>
    </row>
    <row r="81" spans="1:16" hidden="1">
      <c r="A81" t="s">
        <v>82</v>
      </c>
      <c r="B81" t="s">
        <v>15</v>
      </c>
      <c r="C81" s="1">
        <v>45517</v>
      </c>
      <c r="D81" t="s">
        <v>140</v>
      </c>
      <c r="E81" t="s">
        <v>147</v>
      </c>
      <c r="F81" t="s">
        <v>30</v>
      </c>
      <c r="G81" t="s">
        <v>25</v>
      </c>
      <c r="H81">
        <v>19</v>
      </c>
      <c r="I81">
        <v>82.64</v>
      </c>
      <c r="J81">
        <f t="shared" si="4"/>
        <v>1570.16</v>
      </c>
      <c r="K81">
        <v>0</v>
      </c>
      <c r="L81">
        <f t="shared" si="5"/>
        <v>0</v>
      </c>
      <c r="M81">
        <v>0.99</v>
      </c>
      <c r="N81">
        <v>0</v>
      </c>
      <c r="O81">
        <v>0.02</v>
      </c>
      <c r="P81">
        <f>Table1[[#This Row],[Net Amount]]+Table1[[#This Row],[NetBrokerage]]+Table1[[#This Row],[STT]]+Table1[[#This Row],[Stamp Duty]]+Table1[[#This Row],[GST]]</f>
        <v>1571.17</v>
      </c>
    </row>
    <row r="82" spans="1:16" hidden="1">
      <c r="A82" t="s">
        <v>82</v>
      </c>
      <c r="B82" t="s">
        <v>15</v>
      </c>
      <c r="C82" s="1">
        <v>45524</v>
      </c>
      <c r="D82" t="s">
        <v>141</v>
      </c>
      <c r="E82" t="s">
        <v>142</v>
      </c>
      <c r="F82" t="s">
        <v>30</v>
      </c>
      <c r="G82" t="s">
        <v>18</v>
      </c>
      <c r="H82">
        <v>5</v>
      </c>
      <c r="I82">
        <v>236.65</v>
      </c>
      <c r="J82">
        <f t="shared" si="4"/>
        <v>1183.25</v>
      </c>
      <c r="K82">
        <v>1.77</v>
      </c>
      <c r="L82">
        <f t="shared" si="5"/>
        <v>8.85</v>
      </c>
      <c r="M82">
        <v>1</v>
      </c>
      <c r="N82">
        <v>0</v>
      </c>
      <c r="O82">
        <v>1.6</v>
      </c>
      <c r="P82">
        <f>Table1[[#This Row],[Net Amount]]+Table1[[#This Row],[NetBrokerage]]+Table1[[#This Row],[STT]]+Table1[[#This Row],[Stamp Duty]]+Table1[[#This Row],[GST]]</f>
        <v>1194.6999999999998</v>
      </c>
    </row>
    <row r="83" spans="1:16" hidden="1">
      <c r="A83" t="s">
        <v>82</v>
      </c>
      <c r="B83" t="s">
        <v>15</v>
      </c>
      <c r="C83" s="1">
        <v>45525</v>
      </c>
      <c r="D83" t="s">
        <v>143</v>
      </c>
      <c r="E83" t="s">
        <v>144</v>
      </c>
      <c r="F83" t="s">
        <v>30</v>
      </c>
      <c r="G83" t="s">
        <v>18</v>
      </c>
      <c r="H83">
        <v>10</v>
      </c>
      <c r="I83">
        <v>348.9</v>
      </c>
      <c r="J83">
        <f t="shared" si="4"/>
        <v>3489</v>
      </c>
      <c r="K83">
        <v>2.5</v>
      </c>
      <c r="L83">
        <f t="shared" si="5"/>
        <v>25</v>
      </c>
      <c r="M83">
        <v>2.99</v>
      </c>
      <c r="N83">
        <v>1</v>
      </c>
      <c r="O83">
        <v>4.5199999999999996</v>
      </c>
      <c r="P83">
        <f>Table1[[#This Row],[Net Amount]]+Table1[[#This Row],[NetBrokerage]]+Table1[[#This Row],[STT]]+Table1[[#This Row],[Stamp Duty]]+Table1[[#This Row],[GST]]</f>
        <v>3522.5099999999998</v>
      </c>
    </row>
    <row r="84" spans="1:16" hidden="1">
      <c r="A84" t="s">
        <v>82</v>
      </c>
      <c r="B84" t="s">
        <v>15</v>
      </c>
      <c r="C84" s="1">
        <v>45525</v>
      </c>
      <c r="D84" t="s">
        <v>141</v>
      </c>
      <c r="E84" t="s">
        <v>142</v>
      </c>
      <c r="F84" t="s">
        <v>30</v>
      </c>
      <c r="G84" t="s">
        <v>18</v>
      </c>
      <c r="H84">
        <v>25</v>
      </c>
      <c r="I84">
        <v>237.9</v>
      </c>
      <c r="J84">
        <f t="shared" si="4"/>
        <v>5947.5</v>
      </c>
      <c r="K84">
        <v>1</v>
      </c>
      <c r="L84">
        <f t="shared" si="5"/>
        <v>25</v>
      </c>
      <c r="M84">
        <v>5.61</v>
      </c>
      <c r="N84">
        <v>0.79</v>
      </c>
      <c r="O84">
        <v>4.53</v>
      </c>
      <c r="P84">
        <f>Table1[[#This Row],[Net Amount]]+Table1[[#This Row],[NetBrokerage]]+Table1[[#This Row],[STT]]+Table1[[#This Row],[Stamp Duty]]+Table1[[#This Row],[GST]]</f>
        <v>5983.4299999999994</v>
      </c>
    </row>
    <row r="85" spans="1:16" hidden="1">
      <c r="A85" t="s">
        <v>82</v>
      </c>
      <c r="B85" t="s">
        <v>15</v>
      </c>
      <c r="C85" s="1">
        <v>45525</v>
      </c>
      <c r="D85" t="s">
        <v>148</v>
      </c>
      <c r="E85" t="s">
        <v>149</v>
      </c>
      <c r="F85" t="s">
        <v>30</v>
      </c>
      <c r="G85" t="s">
        <v>18</v>
      </c>
      <c r="H85">
        <v>10</v>
      </c>
      <c r="I85">
        <v>138.6</v>
      </c>
      <c r="J85">
        <f>H85*I85</f>
        <v>1386</v>
      </c>
      <c r="K85">
        <v>1.0389999999999999</v>
      </c>
      <c r="L85">
        <f>H85*K85</f>
        <v>10.389999999999999</v>
      </c>
      <c r="M85">
        <v>1.38</v>
      </c>
      <c r="N85">
        <v>0.21</v>
      </c>
      <c r="O85">
        <v>1.87</v>
      </c>
      <c r="P85">
        <f>J85+L85</f>
        <v>1396.39</v>
      </c>
    </row>
    <row r="86" spans="1:16" hidden="1">
      <c r="A86" t="s">
        <v>82</v>
      </c>
      <c r="B86" t="s">
        <v>15</v>
      </c>
      <c r="C86" s="1">
        <v>45534</v>
      </c>
      <c r="D86" t="s">
        <v>148</v>
      </c>
      <c r="E86" t="s">
        <v>149</v>
      </c>
      <c r="F86" t="s">
        <v>30</v>
      </c>
      <c r="G86" t="s">
        <v>18</v>
      </c>
      <c r="H86">
        <v>10</v>
      </c>
      <c r="I86">
        <v>121.91</v>
      </c>
      <c r="J86">
        <f>H86*I86</f>
        <v>1219.0999999999999</v>
      </c>
      <c r="K86">
        <v>0.91</v>
      </c>
      <c r="L86">
        <f>H86*K86</f>
        <v>9.1</v>
      </c>
      <c r="M86">
        <v>0.99</v>
      </c>
      <c r="N86">
        <v>0</v>
      </c>
      <c r="O86">
        <v>1.65</v>
      </c>
      <c r="P86">
        <f>J86+L86</f>
        <v>1228.1999999999998</v>
      </c>
    </row>
    <row r="87" spans="1:16" hidden="1">
      <c r="A87" t="s">
        <v>82</v>
      </c>
      <c r="B87" t="s">
        <v>15</v>
      </c>
      <c r="C87" s="1">
        <v>45638</v>
      </c>
      <c r="D87" t="s">
        <v>140</v>
      </c>
      <c r="E87" t="s">
        <v>147</v>
      </c>
      <c r="F87" t="s">
        <v>30</v>
      </c>
      <c r="G87" t="s">
        <v>18</v>
      </c>
      <c r="H87">
        <v>100</v>
      </c>
      <c r="I87">
        <v>65</v>
      </c>
      <c r="J87">
        <f t="shared" si="4"/>
        <v>6500</v>
      </c>
      <c r="K87">
        <v>0.25</v>
      </c>
      <c r="L87">
        <f t="shared" si="5"/>
        <v>25</v>
      </c>
      <c r="M87">
        <v>6.5</v>
      </c>
      <c r="N87">
        <v>0.98</v>
      </c>
      <c r="O87">
        <v>4.53</v>
      </c>
      <c r="P87">
        <f>Table1[[#This Row],[Net Amount]]+Table1[[#This Row],[NetBrokerage]]+Table1[[#This Row],[STT]]+Table1[[#This Row],[Stamp Duty]]+Table1[[#This Row],[GST]]</f>
        <v>6537.0099999999993</v>
      </c>
    </row>
    <row r="88" spans="1:16" hidden="1">
      <c r="A88" t="s">
        <v>82</v>
      </c>
      <c r="B88" t="s">
        <v>15</v>
      </c>
      <c r="C88" s="1">
        <v>45638</v>
      </c>
      <c r="D88" t="s">
        <v>145</v>
      </c>
      <c r="E88" t="s">
        <v>146</v>
      </c>
      <c r="F88" t="s">
        <v>30</v>
      </c>
      <c r="G88" t="s">
        <v>18</v>
      </c>
      <c r="H88">
        <v>50</v>
      </c>
      <c r="I88">
        <v>790</v>
      </c>
      <c r="J88">
        <f t="shared" si="4"/>
        <v>39500</v>
      </c>
      <c r="K88">
        <v>1.73</v>
      </c>
      <c r="L88">
        <f t="shared" si="5"/>
        <v>86.5</v>
      </c>
      <c r="M88">
        <v>39.5</v>
      </c>
      <c r="N88">
        <v>6.02</v>
      </c>
      <c r="O88">
        <v>15.86</v>
      </c>
      <c r="P88">
        <f>Table1[[#This Row],[Net Amount]]+Table1[[#This Row],[NetBrokerage]]+Table1[[#This Row],[STT]]+Table1[[#This Row],[Stamp Duty]]+Table1[[#This Row],[GST]]</f>
        <v>39647.879999999997</v>
      </c>
    </row>
    <row r="89" spans="1:16" hidden="1">
      <c r="A89" t="s">
        <v>82</v>
      </c>
      <c r="B89" t="s">
        <v>15</v>
      </c>
      <c r="C89" s="1">
        <v>45644</v>
      </c>
      <c r="D89" t="s">
        <v>143</v>
      </c>
      <c r="E89" t="s">
        <v>144</v>
      </c>
      <c r="F89" t="s">
        <v>30</v>
      </c>
      <c r="G89" t="s">
        <v>18</v>
      </c>
      <c r="H89">
        <v>10</v>
      </c>
      <c r="I89">
        <v>330</v>
      </c>
      <c r="J89">
        <f t="shared" si="4"/>
        <v>3300</v>
      </c>
      <c r="K89">
        <v>2.4700000000000002</v>
      </c>
      <c r="L89">
        <f t="shared" si="5"/>
        <v>24.700000000000003</v>
      </c>
      <c r="M89">
        <v>3.45</v>
      </c>
      <c r="N89">
        <v>0.5</v>
      </c>
      <c r="O89">
        <v>4.47</v>
      </c>
      <c r="P89">
        <f>Table1[[#This Row],[Net Amount]]+Table1[[#This Row],[NetBrokerage]]+Table1[[#This Row],[STT]]+Table1[[#This Row],[Stamp Duty]]+Table1[[#This Row],[GST]]</f>
        <v>3333.1199999999994</v>
      </c>
    </row>
    <row r="90" spans="1:16" hidden="1">
      <c r="A90" t="s">
        <v>82</v>
      </c>
      <c r="B90" t="s">
        <v>15</v>
      </c>
      <c r="C90" s="1">
        <v>45644</v>
      </c>
      <c r="D90" t="s">
        <v>141</v>
      </c>
      <c r="E90" t="s">
        <v>142</v>
      </c>
      <c r="F90" t="s">
        <v>30</v>
      </c>
      <c r="G90" t="s">
        <v>18</v>
      </c>
      <c r="H90">
        <v>10</v>
      </c>
      <c r="I90">
        <v>195</v>
      </c>
      <c r="J90">
        <f t="shared" si="4"/>
        <v>1950</v>
      </c>
      <c r="K90">
        <v>1.46</v>
      </c>
      <c r="L90">
        <f t="shared" si="5"/>
        <v>14.6</v>
      </c>
      <c r="M90">
        <v>1.95</v>
      </c>
      <c r="N90">
        <v>0.28999999999999998</v>
      </c>
      <c r="O90">
        <v>2.64</v>
      </c>
      <c r="P90">
        <f>Table1[[#This Row],[Net Amount]]+Table1[[#This Row],[NetBrokerage]]+Table1[[#This Row],[STT]]+Table1[[#This Row],[Stamp Duty]]+Table1[[#This Row],[GST]]</f>
        <v>1969.48</v>
      </c>
    </row>
    <row r="91" spans="1:16" hidden="1">
      <c r="A91" t="s">
        <v>82</v>
      </c>
      <c r="B91" t="s">
        <v>15</v>
      </c>
      <c r="C91" s="1">
        <v>45644</v>
      </c>
      <c r="D91" t="s">
        <v>148</v>
      </c>
      <c r="E91" t="s">
        <v>149</v>
      </c>
      <c r="F91" t="s">
        <v>30</v>
      </c>
      <c r="G91" t="s">
        <v>18</v>
      </c>
      <c r="H91">
        <v>10</v>
      </c>
      <c r="I91">
        <v>95</v>
      </c>
      <c r="J91">
        <f>H91*I91</f>
        <v>950</v>
      </c>
      <c r="K91">
        <v>0.71</v>
      </c>
      <c r="L91">
        <f>H91*K91</f>
        <v>7.1</v>
      </c>
      <c r="M91">
        <v>0.94</v>
      </c>
      <c r="N91">
        <v>0.14000000000000001</v>
      </c>
      <c r="O91">
        <v>1.28</v>
      </c>
      <c r="P91">
        <f>J91+L91</f>
        <v>957.1</v>
      </c>
    </row>
    <row r="92" spans="1:16" hidden="1">
      <c r="A92" t="s">
        <v>82</v>
      </c>
      <c r="B92" t="s">
        <v>15</v>
      </c>
      <c r="C92" s="1">
        <v>45644</v>
      </c>
      <c r="D92" t="s">
        <v>145</v>
      </c>
      <c r="E92" t="s">
        <v>146</v>
      </c>
      <c r="F92" t="s">
        <v>30</v>
      </c>
      <c r="G92" t="s">
        <v>18</v>
      </c>
      <c r="H92">
        <v>10</v>
      </c>
      <c r="I92">
        <v>765</v>
      </c>
      <c r="J92">
        <f t="shared" si="4"/>
        <v>7650</v>
      </c>
      <c r="K92">
        <v>2.5</v>
      </c>
      <c r="L92">
        <f t="shared" si="5"/>
        <v>25</v>
      </c>
      <c r="M92">
        <v>7.65</v>
      </c>
      <c r="N92">
        <v>1.07</v>
      </c>
      <c r="O92">
        <v>4.54</v>
      </c>
      <c r="P92">
        <f>Table1[[#This Row],[Net Amount]]+Table1[[#This Row],[NetBrokerage]]+Table1[[#This Row],[STT]]+Table1[[#This Row],[Stamp Duty]]+Table1[[#This Row],[GST]]</f>
        <v>7688.2599999999993</v>
      </c>
    </row>
    <row r="93" spans="1:16" hidden="1">
      <c r="A93" t="s">
        <v>82</v>
      </c>
      <c r="B93" t="s">
        <v>15</v>
      </c>
      <c r="C93" s="1">
        <v>45645</v>
      </c>
      <c r="D93" t="s">
        <v>145</v>
      </c>
      <c r="E93" t="s">
        <v>146</v>
      </c>
      <c r="F93" t="s">
        <v>30</v>
      </c>
      <c r="G93" t="s">
        <v>18</v>
      </c>
      <c r="H93">
        <v>5</v>
      </c>
      <c r="I93">
        <v>744.75</v>
      </c>
      <c r="J93">
        <f t="shared" si="4"/>
        <v>3723.75</v>
      </c>
      <c r="K93">
        <v>5</v>
      </c>
      <c r="L93">
        <f t="shared" si="5"/>
        <v>25</v>
      </c>
      <c r="M93">
        <v>0</v>
      </c>
      <c r="N93">
        <v>0</v>
      </c>
      <c r="O93">
        <v>0</v>
      </c>
      <c r="P93">
        <f>Table1[[#This Row],[Net Amount]]+Table1[[#This Row],[NetBrokerage]]+Table1[[#This Row],[STT]]+Table1[[#This Row],[Stamp Duty]]+Table1[[#This Row],[GST]]</f>
        <v>3748.75</v>
      </c>
    </row>
    <row r="94" spans="1:16" hidden="1">
      <c r="A94" t="s">
        <v>82</v>
      </c>
      <c r="B94" t="s">
        <v>15</v>
      </c>
      <c r="C94" s="1">
        <v>45645</v>
      </c>
      <c r="D94" t="s">
        <v>145</v>
      </c>
      <c r="E94" t="s">
        <v>146</v>
      </c>
      <c r="F94" t="s">
        <v>30</v>
      </c>
      <c r="G94" t="s">
        <v>18</v>
      </c>
      <c r="H94">
        <v>5</v>
      </c>
      <c r="I94">
        <v>744.75</v>
      </c>
      <c r="J94">
        <f t="shared" si="4"/>
        <v>3723.75</v>
      </c>
      <c r="K94">
        <v>5</v>
      </c>
      <c r="L94">
        <f t="shared" si="5"/>
        <v>25</v>
      </c>
      <c r="M94">
        <v>6.99</v>
      </c>
      <c r="N94">
        <v>1</v>
      </c>
      <c r="O94">
        <v>9.0399999999999991</v>
      </c>
      <c r="P94">
        <f>Table1[[#This Row],[Net Amount]]+Table1[[#This Row],[NetBrokerage]]+Table1[[#This Row],[STT]]+Table1[[#This Row],[Stamp Duty]]+Table1[[#This Row],[GST]]</f>
        <v>3765.7799999999997</v>
      </c>
    </row>
    <row r="95" spans="1:16" hidden="1">
      <c r="A95" t="s">
        <v>82</v>
      </c>
      <c r="B95" t="s">
        <v>15</v>
      </c>
      <c r="C95" s="1">
        <v>45646</v>
      </c>
      <c r="D95" t="s">
        <v>148</v>
      </c>
      <c r="E95" t="s">
        <v>149</v>
      </c>
      <c r="F95" t="s">
        <v>30</v>
      </c>
      <c r="G95" t="s">
        <v>18</v>
      </c>
      <c r="H95">
        <v>10</v>
      </c>
      <c r="I95">
        <v>94</v>
      </c>
      <c r="J95">
        <f>H95*I95</f>
        <v>940</v>
      </c>
      <c r="K95">
        <v>0.7</v>
      </c>
      <c r="L95">
        <f>H95*K95</f>
        <v>7</v>
      </c>
      <c r="M95">
        <v>0.75</v>
      </c>
      <c r="N95">
        <v>0.14000000000000001</v>
      </c>
      <c r="O95">
        <v>1.27</v>
      </c>
      <c r="P95">
        <f>Table1[[#This Row],[Net Amount]]+Table1[[#This Row],[NetBrokerage]]+Table1[[#This Row],[STT]]+Table1[[#This Row],[Stamp Duty]]+Table1[[#This Row],[GST]]</f>
        <v>949.16</v>
      </c>
    </row>
    <row r="96" spans="1:16" hidden="1">
      <c r="A96" t="s">
        <v>82</v>
      </c>
      <c r="B96" t="s">
        <v>15</v>
      </c>
      <c r="C96" s="1">
        <v>45646</v>
      </c>
      <c r="D96" t="s">
        <v>145</v>
      </c>
      <c r="E96" t="s">
        <v>146</v>
      </c>
      <c r="F96" t="s">
        <v>30</v>
      </c>
      <c r="G96" t="s">
        <v>18</v>
      </c>
      <c r="H96">
        <v>10</v>
      </c>
      <c r="I96">
        <v>725</v>
      </c>
      <c r="J96">
        <f t="shared" si="4"/>
        <v>7250</v>
      </c>
      <c r="K96">
        <v>2.5</v>
      </c>
      <c r="L96">
        <f t="shared" si="5"/>
        <v>25</v>
      </c>
      <c r="M96">
        <v>7.25</v>
      </c>
      <c r="N96">
        <v>0.86</v>
      </c>
      <c r="O96">
        <v>4.54</v>
      </c>
      <c r="P96">
        <f>Table1[[#This Row],[Net Amount]]+Table1[[#This Row],[NetBrokerage]]+Table1[[#This Row],[STT]]+Table1[[#This Row],[Stamp Duty]]+Table1[[#This Row],[GST]]</f>
        <v>7287.65</v>
      </c>
    </row>
    <row r="97" spans="1:16" hidden="1">
      <c r="A97" t="s">
        <v>82</v>
      </c>
      <c r="B97" t="s">
        <v>15</v>
      </c>
      <c r="C97" s="1">
        <v>45946</v>
      </c>
      <c r="D97" t="s">
        <v>67</v>
      </c>
      <c r="E97" t="s">
        <v>66</v>
      </c>
      <c r="F97" t="s">
        <v>59</v>
      </c>
      <c r="G97" t="s">
        <v>60</v>
      </c>
      <c r="H97">
        <v>80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f>Table1[[#This Row],[Net Amount]]+Table1[[#This Row],[NetBrokerage]]+Table1[[#This Row],[STT]]+Table1[[#This Row],[Stamp Duty]]+Table1[[#This Row],[GST]]</f>
        <v>0</v>
      </c>
    </row>
    <row r="98" spans="1:16" hidden="1">
      <c r="A98" t="s">
        <v>82</v>
      </c>
      <c r="B98" t="s">
        <v>155</v>
      </c>
      <c r="C98" s="5">
        <v>43917</v>
      </c>
      <c r="D98" t="s">
        <v>157</v>
      </c>
      <c r="E98" t="s">
        <v>152</v>
      </c>
      <c r="F98" t="s">
        <v>30</v>
      </c>
      <c r="G98" t="s">
        <v>18</v>
      </c>
      <c r="H98">
        <v>2</v>
      </c>
      <c r="I98">
        <v>10050</v>
      </c>
      <c r="J98">
        <f>H98*I98</f>
        <v>20100</v>
      </c>
      <c r="K98">
        <v>30.15</v>
      </c>
      <c r="L98">
        <f>H98*K98</f>
        <v>60.3</v>
      </c>
      <c r="M98">
        <v>20</v>
      </c>
      <c r="N98">
        <v>1.21</v>
      </c>
      <c r="O98">
        <v>10.98</v>
      </c>
      <c r="P98">
        <f>Table1[[#This Row],[Net Amount]]+Table1[[#This Row],[NetBrokerage]]+Table1[[#This Row],[STT]]+Table1[[#This Row],[Stamp Duty]]+Table1[[#This Row],[GST]]</f>
        <v>20192.489999999998</v>
      </c>
    </row>
    <row r="99" spans="1:16" hidden="1">
      <c r="A99" t="s">
        <v>82</v>
      </c>
      <c r="B99" t="s">
        <v>155</v>
      </c>
      <c r="C99" s="5">
        <v>43992</v>
      </c>
      <c r="D99" t="s">
        <v>19</v>
      </c>
      <c r="E99" t="s">
        <v>153</v>
      </c>
      <c r="F99" t="s">
        <v>30</v>
      </c>
      <c r="G99" t="s">
        <v>18</v>
      </c>
      <c r="H99">
        <v>10</v>
      </c>
      <c r="I99">
        <v>990</v>
      </c>
      <c r="J99">
        <f t="shared" ref="J99:J100" si="6">H99*I99</f>
        <v>9900</v>
      </c>
      <c r="K99">
        <v>2.97</v>
      </c>
      <c r="L99">
        <f t="shared" ref="L99:L100" si="7">H99*K99</f>
        <v>29.700000000000003</v>
      </c>
      <c r="M99">
        <v>10</v>
      </c>
      <c r="N99">
        <v>0.59</v>
      </c>
      <c r="O99">
        <v>5.41</v>
      </c>
      <c r="P99">
        <f>Table1[[#This Row],[Net Amount]]+Table1[[#This Row],[NetBrokerage]]+Table1[[#This Row],[STT]]+Table1[[#This Row],[Stamp Duty]]+Table1[[#This Row],[GST]]</f>
        <v>9945.7000000000007</v>
      </c>
    </row>
    <row r="100" spans="1:16" hidden="1">
      <c r="A100" t="s">
        <v>82</v>
      </c>
      <c r="B100" t="s">
        <v>155</v>
      </c>
      <c r="C100" s="5">
        <v>44019</v>
      </c>
      <c r="D100" t="s">
        <v>156</v>
      </c>
      <c r="E100" t="s">
        <v>154</v>
      </c>
      <c r="F100" t="s">
        <v>30</v>
      </c>
      <c r="G100" t="s">
        <v>18</v>
      </c>
      <c r="H100">
        <v>50</v>
      </c>
      <c r="I100">
        <v>200</v>
      </c>
      <c r="J100">
        <f t="shared" si="6"/>
        <v>10000</v>
      </c>
      <c r="K100">
        <v>0.6</v>
      </c>
      <c r="L100">
        <f t="shared" si="7"/>
        <v>30</v>
      </c>
      <c r="M100">
        <v>10</v>
      </c>
      <c r="N100">
        <v>1.5</v>
      </c>
      <c r="O100">
        <v>5.46</v>
      </c>
      <c r="P100">
        <f>Table1[[#This Row],[Net Amount]]+Table1[[#This Row],[NetBrokerage]]+Table1[[#This Row],[STT]]+Table1[[#This Row],[Stamp Duty]]+Table1[[#This Row],[GST]]</f>
        <v>10046.959999999999</v>
      </c>
    </row>
    <row r="101" spans="1:16" hidden="1">
      <c r="A101" t="s">
        <v>82</v>
      </c>
      <c r="B101" t="s">
        <v>155</v>
      </c>
      <c r="C101" s="1">
        <v>45895</v>
      </c>
      <c r="D101" t="s">
        <v>19</v>
      </c>
      <c r="E101" t="s">
        <v>153</v>
      </c>
      <c r="F101" t="s">
        <v>57</v>
      </c>
      <c r="G101" t="s">
        <v>58</v>
      </c>
      <c r="H101">
        <v>10</v>
      </c>
      <c r="I101">
        <v>0</v>
      </c>
      <c r="J101">
        <f>H101*I101</f>
        <v>0</v>
      </c>
      <c r="K101">
        <v>0</v>
      </c>
      <c r="L101">
        <f>H101*K101</f>
        <v>0</v>
      </c>
      <c r="P101">
        <f>J101+L101</f>
        <v>0</v>
      </c>
    </row>
    <row r="102" spans="1:16" hidden="1">
      <c r="A102" t="s">
        <v>82</v>
      </c>
      <c r="B102" t="s">
        <v>155</v>
      </c>
      <c r="C102" s="1">
        <v>45671</v>
      </c>
      <c r="D102" t="s">
        <v>159</v>
      </c>
      <c r="E102" t="s">
        <v>158</v>
      </c>
      <c r="F102" t="s">
        <v>59</v>
      </c>
      <c r="G102" t="s">
        <v>60</v>
      </c>
      <c r="H102">
        <v>5</v>
      </c>
      <c r="I102">
        <v>0</v>
      </c>
      <c r="J102">
        <f>H102*I102</f>
        <v>0</v>
      </c>
      <c r="K102">
        <v>0</v>
      </c>
      <c r="L102">
        <f>H102*K102</f>
        <v>0</v>
      </c>
      <c r="P102">
        <f>J102+L102</f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69BF-FFB3-2242-8A16-C2AA6F680320}">
  <dimension ref="A1:N151"/>
  <sheetViews>
    <sheetView topLeftCell="A25" workbookViewId="0">
      <selection activeCell="C2" sqref="C2"/>
    </sheetView>
  </sheetViews>
  <sheetFormatPr baseColWidth="10" defaultRowHeight="16"/>
  <cols>
    <col min="1" max="1" width="22.83203125" bestFit="1" customWidth="1"/>
    <col min="5" max="5" width="13.5" bestFit="1" customWidth="1"/>
    <col min="6" max="6" width="24.33203125" bestFit="1" customWidth="1"/>
    <col min="7" max="7" width="14.5" bestFit="1" customWidth="1"/>
    <col min="11" max="11" width="17.1640625" bestFit="1" customWidth="1"/>
    <col min="12" max="12" width="15.1640625" customWidth="1"/>
    <col min="14" max="14" width="13.5" bestFit="1" customWidth="1"/>
  </cols>
  <sheetData>
    <row r="1" spans="1:14">
      <c r="A1" s="6" t="s">
        <v>160</v>
      </c>
      <c r="B1" s="6" t="s">
        <v>161</v>
      </c>
      <c r="C1" s="6" t="s">
        <v>84</v>
      </c>
      <c r="D1" s="6" t="s">
        <v>1</v>
      </c>
      <c r="E1" s="6" t="s">
        <v>3</v>
      </c>
      <c r="F1" s="6" t="s">
        <v>162</v>
      </c>
      <c r="G1" s="6" t="s">
        <v>163</v>
      </c>
      <c r="H1" s="6" t="s">
        <v>7</v>
      </c>
      <c r="I1" s="6" t="s">
        <v>164</v>
      </c>
      <c r="J1" s="6" t="s">
        <v>165</v>
      </c>
      <c r="K1" s="6" t="s">
        <v>166</v>
      </c>
      <c r="L1" s="6" t="s">
        <v>167</v>
      </c>
      <c r="M1" s="6" t="s">
        <v>168</v>
      </c>
      <c r="N1" s="6" t="s">
        <v>169</v>
      </c>
    </row>
    <row r="2" spans="1:14">
      <c r="A2" s="22" t="s">
        <v>14</v>
      </c>
      <c r="B2" s="22"/>
      <c r="C2" s="1">
        <v>41870</v>
      </c>
      <c r="D2" s="22" t="s">
        <v>28</v>
      </c>
      <c r="E2" t="s">
        <v>56</v>
      </c>
      <c r="F2" s="22" t="s">
        <v>29</v>
      </c>
      <c r="G2" s="22"/>
      <c r="H2" s="22">
        <v>100</v>
      </c>
      <c r="I2" s="23">
        <v>0.4</v>
      </c>
      <c r="J2" s="24"/>
      <c r="K2" s="23">
        <v>40</v>
      </c>
      <c r="L2" s="21"/>
      <c r="M2" s="6"/>
      <c r="N2" s="6"/>
    </row>
    <row r="3" spans="1:14" ht="15" customHeight="1">
      <c r="A3" t="s">
        <v>14</v>
      </c>
      <c r="C3" s="1">
        <v>42230</v>
      </c>
      <c r="D3" t="s">
        <v>28</v>
      </c>
      <c r="E3" t="s">
        <v>56</v>
      </c>
      <c r="F3" t="s">
        <v>29</v>
      </c>
      <c r="H3">
        <v>100</v>
      </c>
      <c r="I3" s="7">
        <v>6.72</v>
      </c>
      <c r="J3" s="8"/>
      <c r="K3" s="7">
        <v>672</v>
      </c>
      <c r="L3" s="7"/>
    </row>
    <row r="4" spans="1:14">
      <c r="A4" t="s">
        <v>14</v>
      </c>
      <c r="C4" s="1">
        <v>42258</v>
      </c>
      <c r="D4" t="s">
        <v>28</v>
      </c>
      <c r="E4" t="s">
        <v>53</v>
      </c>
      <c r="F4" t="s">
        <v>170</v>
      </c>
      <c r="H4">
        <v>9</v>
      </c>
      <c r="I4" s="7">
        <v>16.25</v>
      </c>
      <c r="J4" s="8"/>
      <c r="K4" s="7">
        <v>146.25</v>
      </c>
      <c r="L4" s="7"/>
    </row>
    <row r="5" spans="1:14">
      <c r="A5" t="s">
        <v>14</v>
      </c>
      <c r="C5" s="1">
        <v>42261</v>
      </c>
      <c r="D5" t="s">
        <v>28</v>
      </c>
      <c r="E5" t="s">
        <v>38</v>
      </c>
      <c r="F5" t="s">
        <v>171</v>
      </c>
      <c r="H5">
        <v>100</v>
      </c>
      <c r="I5" s="7">
        <v>0.8</v>
      </c>
      <c r="J5" s="8"/>
      <c r="K5" s="7">
        <v>80</v>
      </c>
      <c r="L5" s="7"/>
    </row>
    <row r="6" spans="1:14">
      <c r="A6" t="s">
        <v>14</v>
      </c>
      <c r="C6" s="1">
        <v>42292</v>
      </c>
      <c r="D6" t="s">
        <v>28</v>
      </c>
      <c r="E6" t="s">
        <v>68</v>
      </c>
      <c r="F6" t="s">
        <v>172</v>
      </c>
      <c r="H6">
        <v>50</v>
      </c>
      <c r="I6" s="7"/>
      <c r="J6" s="8"/>
      <c r="K6" s="7">
        <v>12.5</v>
      </c>
      <c r="L6" s="7"/>
    </row>
    <row r="7" spans="1:14">
      <c r="A7" t="s">
        <v>14</v>
      </c>
      <c r="C7" s="1">
        <v>42298</v>
      </c>
      <c r="D7" t="s">
        <v>28</v>
      </c>
      <c r="E7" t="s">
        <v>50</v>
      </c>
      <c r="F7" t="s">
        <v>173</v>
      </c>
      <c r="H7">
        <v>53</v>
      </c>
      <c r="I7" s="7">
        <v>10</v>
      </c>
      <c r="J7" s="8"/>
      <c r="K7" s="7">
        <v>530</v>
      </c>
      <c r="L7" s="7"/>
    </row>
    <row r="8" spans="1:14">
      <c r="A8" t="s">
        <v>14</v>
      </c>
      <c r="C8" s="1">
        <v>42541</v>
      </c>
      <c r="D8" t="s">
        <v>28</v>
      </c>
      <c r="E8" t="s">
        <v>50</v>
      </c>
      <c r="F8" t="s">
        <v>173</v>
      </c>
      <c r="H8">
        <v>53</v>
      </c>
      <c r="I8" s="7">
        <v>14.25</v>
      </c>
      <c r="J8" s="8"/>
      <c r="K8" s="7">
        <v>755.25</v>
      </c>
      <c r="L8" s="7"/>
    </row>
    <row r="9" spans="1:14">
      <c r="A9" t="s">
        <v>14</v>
      </c>
      <c r="C9" s="1">
        <v>42598</v>
      </c>
      <c r="D9" t="s">
        <v>28</v>
      </c>
      <c r="E9" t="s">
        <v>56</v>
      </c>
      <c r="F9" t="s">
        <v>29</v>
      </c>
      <c r="H9">
        <v>100</v>
      </c>
      <c r="I9" s="7">
        <v>8</v>
      </c>
      <c r="J9" s="8"/>
      <c r="K9" s="7">
        <v>800</v>
      </c>
      <c r="L9" s="7"/>
    </row>
    <row r="10" spans="1:14">
      <c r="A10" t="s">
        <v>14</v>
      </c>
      <c r="C10" s="1">
        <v>42612</v>
      </c>
      <c r="D10" t="s">
        <v>28</v>
      </c>
      <c r="E10" t="s">
        <v>53</v>
      </c>
      <c r="F10" t="s">
        <v>170</v>
      </c>
      <c r="H10">
        <v>9</v>
      </c>
      <c r="I10" s="7">
        <v>18.25</v>
      </c>
      <c r="J10" s="8"/>
      <c r="K10" s="7">
        <v>164.25</v>
      </c>
      <c r="L10" s="7"/>
    </row>
    <row r="11" spans="1:14">
      <c r="A11" t="s">
        <v>14</v>
      </c>
      <c r="C11" s="1">
        <v>42669</v>
      </c>
      <c r="D11" t="s">
        <v>28</v>
      </c>
      <c r="E11" t="s">
        <v>50</v>
      </c>
      <c r="F11" t="s">
        <v>173</v>
      </c>
      <c r="H11">
        <v>53</v>
      </c>
      <c r="I11" s="7">
        <v>11</v>
      </c>
      <c r="J11" s="8"/>
      <c r="K11" s="7">
        <v>583</v>
      </c>
      <c r="L11" s="7"/>
    </row>
    <row r="12" spans="1:14">
      <c r="A12" t="s">
        <v>14</v>
      </c>
      <c r="C12" s="1">
        <v>42913</v>
      </c>
      <c r="D12" t="s">
        <v>28</v>
      </c>
      <c r="E12" t="s">
        <v>50</v>
      </c>
      <c r="F12" t="s">
        <v>173</v>
      </c>
      <c r="H12">
        <v>53</v>
      </c>
      <c r="I12" s="7">
        <v>14.75</v>
      </c>
      <c r="J12" s="8"/>
      <c r="K12" s="7">
        <v>781.75</v>
      </c>
      <c r="L12" s="7"/>
    </row>
    <row r="13" spans="1:14">
      <c r="A13" t="s">
        <v>14</v>
      </c>
      <c r="C13" s="1">
        <v>42933</v>
      </c>
      <c r="D13" t="s">
        <v>28</v>
      </c>
      <c r="E13" t="s">
        <v>53</v>
      </c>
      <c r="F13" t="s">
        <v>170</v>
      </c>
      <c r="H13">
        <v>0.5</v>
      </c>
      <c r="I13" s="7"/>
      <c r="J13" s="8"/>
      <c r="K13" s="7">
        <v>581.5</v>
      </c>
      <c r="L13" s="7"/>
    </row>
    <row r="14" spans="1:14">
      <c r="A14" t="s">
        <v>14</v>
      </c>
      <c r="C14" s="1">
        <v>42933</v>
      </c>
      <c r="D14" t="s">
        <v>28</v>
      </c>
      <c r="E14" t="s">
        <v>53</v>
      </c>
      <c r="F14" t="s">
        <v>170</v>
      </c>
      <c r="G14" t="s">
        <v>58</v>
      </c>
      <c r="H14">
        <v>4</v>
      </c>
      <c r="I14" s="7"/>
      <c r="J14" s="8"/>
      <c r="K14" s="7"/>
      <c r="L14" s="7">
        <v>4</v>
      </c>
    </row>
    <row r="15" spans="1:14">
      <c r="A15" t="s">
        <v>14</v>
      </c>
      <c r="C15" s="1">
        <v>42957</v>
      </c>
      <c r="D15" t="s">
        <v>28</v>
      </c>
      <c r="E15" t="s">
        <v>56</v>
      </c>
      <c r="F15" t="s">
        <v>29</v>
      </c>
      <c r="H15">
        <v>100</v>
      </c>
      <c r="I15" s="7">
        <v>10</v>
      </c>
      <c r="J15" s="8"/>
      <c r="K15" s="7">
        <v>1000</v>
      </c>
      <c r="L15" s="7"/>
    </row>
    <row r="16" spans="1:14">
      <c r="A16" t="s">
        <v>14</v>
      </c>
      <c r="C16" s="1">
        <v>42971</v>
      </c>
      <c r="D16" t="s">
        <v>28</v>
      </c>
      <c r="E16" t="s">
        <v>53</v>
      </c>
      <c r="F16" t="s">
        <v>170</v>
      </c>
      <c r="H16">
        <v>13</v>
      </c>
      <c r="I16" s="7">
        <v>14</v>
      </c>
      <c r="J16" s="8"/>
      <c r="K16" s="7">
        <v>182</v>
      </c>
      <c r="L16" s="7"/>
    </row>
    <row r="17" spans="1:12">
      <c r="A17" t="s">
        <v>14</v>
      </c>
      <c r="C17" s="1">
        <v>42992</v>
      </c>
      <c r="D17" t="s">
        <v>28</v>
      </c>
      <c r="E17" t="s">
        <v>38</v>
      </c>
      <c r="F17" t="s">
        <v>171</v>
      </c>
      <c r="H17">
        <v>100</v>
      </c>
      <c r="I17" s="7">
        <v>0.8</v>
      </c>
      <c r="J17" s="8"/>
      <c r="K17" s="7">
        <v>80</v>
      </c>
      <c r="L17" s="7"/>
    </row>
    <row r="18" spans="1:12">
      <c r="A18" t="s">
        <v>14</v>
      </c>
      <c r="C18" s="1">
        <v>43043</v>
      </c>
      <c r="D18" t="s">
        <v>28</v>
      </c>
      <c r="E18" t="s">
        <v>50</v>
      </c>
      <c r="F18" t="s">
        <v>173</v>
      </c>
      <c r="H18">
        <v>53</v>
      </c>
      <c r="I18" s="7">
        <v>13</v>
      </c>
      <c r="J18" s="8"/>
      <c r="K18" s="7">
        <v>689</v>
      </c>
      <c r="L18" s="7"/>
    </row>
    <row r="19" spans="1:12">
      <c r="A19" t="s">
        <v>14</v>
      </c>
      <c r="C19" s="1">
        <v>43277</v>
      </c>
      <c r="D19" t="s">
        <v>28</v>
      </c>
      <c r="E19" t="s">
        <v>50</v>
      </c>
      <c r="F19" t="s">
        <v>173</v>
      </c>
      <c r="H19">
        <v>53</v>
      </c>
      <c r="I19" s="7">
        <v>30.5</v>
      </c>
      <c r="J19" s="8"/>
      <c r="K19" s="7">
        <v>1616.5</v>
      </c>
      <c r="L19" s="7"/>
    </row>
    <row r="20" spans="1:12">
      <c r="A20" t="s">
        <v>14</v>
      </c>
      <c r="C20" s="1">
        <v>43304</v>
      </c>
      <c r="D20" t="s">
        <v>28</v>
      </c>
      <c r="E20" t="s">
        <v>56</v>
      </c>
      <c r="F20" t="s">
        <v>29</v>
      </c>
      <c r="H20">
        <v>100</v>
      </c>
      <c r="I20" s="7">
        <v>10</v>
      </c>
      <c r="J20" s="8"/>
      <c r="K20" s="7">
        <v>1000</v>
      </c>
      <c r="L20" s="7"/>
    </row>
    <row r="21" spans="1:12">
      <c r="A21" t="s">
        <v>14</v>
      </c>
      <c r="C21" s="1">
        <v>43339</v>
      </c>
      <c r="D21" t="s">
        <v>28</v>
      </c>
      <c r="E21" t="s">
        <v>53</v>
      </c>
      <c r="F21" t="s">
        <v>170</v>
      </c>
      <c r="H21">
        <v>13</v>
      </c>
      <c r="I21" s="7">
        <v>16</v>
      </c>
      <c r="J21" s="8"/>
      <c r="K21" s="7">
        <v>208</v>
      </c>
      <c r="L21" s="7"/>
    </row>
    <row r="22" spans="1:12">
      <c r="A22" t="s">
        <v>14</v>
      </c>
      <c r="C22" s="1">
        <v>43343</v>
      </c>
      <c r="D22" t="s">
        <v>28</v>
      </c>
      <c r="E22" t="s">
        <v>38</v>
      </c>
      <c r="F22" t="s">
        <v>171</v>
      </c>
      <c r="H22">
        <v>100</v>
      </c>
      <c r="I22" s="7">
        <v>1</v>
      </c>
      <c r="J22" s="8"/>
      <c r="K22" s="7">
        <v>100</v>
      </c>
      <c r="L22" s="7"/>
    </row>
    <row r="23" spans="1:12">
      <c r="A23" t="s">
        <v>14</v>
      </c>
      <c r="C23" s="1">
        <v>43360</v>
      </c>
      <c r="D23" t="s">
        <v>28</v>
      </c>
      <c r="E23" t="s">
        <v>50</v>
      </c>
      <c r="F23" t="s">
        <v>173</v>
      </c>
      <c r="G23" t="s">
        <v>58</v>
      </c>
      <c r="H23">
        <v>53</v>
      </c>
      <c r="I23" s="7"/>
      <c r="J23" s="8" t="s">
        <v>188</v>
      </c>
      <c r="K23" s="7"/>
      <c r="L23" s="7">
        <v>53</v>
      </c>
    </row>
    <row r="24" spans="1:12">
      <c r="A24" t="s">
        <v>14</v>
      </c>
      <c r="C24" s="1">
        <v>43403</v>
      </c>
      <c r="D24" t="s">
        <v>28</v>
      </c>
      <c r="E24" t="s">
        <v>50</v>
      </c>
      <c r="F24" t="s">
        <v>173</v>
      </c>
      <c r="H24">
        <v>106</v>
      </c>
      <c r="I24" s="7">
        <v>7</v>
      </c>
      <c r="J24" s="8"/>
      <c r="K24" s="7">
        <v>742</v>
      </c>
      <c r="L24" s="7"/>
    </row>
    <row r="25" spans="1:12">
      <c r="A25" t="s">
        <v>14</v>
      </c>
      <c r="C25" s="1">
        <v>43493</v>
      </c>
      <c r="D25" t="s">
        <v>28</v>
      </c>
      <c r="E25" t="s">
        <v>50</v>
      </c>
      <c r="F25" t="s">
        <v>173</v>
      </c>
      <c r="H25">
        <v>106</v>
      </c>
      <c r="I25" s="7">
        <v>4</v>
      </c>
      <c r="J25" s="8"/>
      <c r="K25" s="7">
        <v>424</v>
      </c>
      <c r="L25" s="7"/>
    </row>
    <row r="26" spans="1:12">
      <c r="A26" t="s">
        <v>14</v>
      </c>
      <c r="C26" s="1">
        <v>43641</v>
      </c>
      <c r="D26" t="s">
        <v>28</v>
      </c>
      <c r="E26" t="s">
        <v>50</v>
      </c>
      <c r="F26" t="s">
        <v>173</v>
      </c>
      <c r="H26">
        <v>106</v>
      </c>
      <c r="I26" s="7">
        <v>10.5</v>
      </c>
      <c r="J26" s="8"/>
      <c r="K26" s="7">
        <v>1113</v>
      </c>
      <c r="L26" s="7"/>
    </row>
    <row r="27" spans="1:12">
      <c r="A27" t="s">
        <v>14</v>
      </c>
      <c r="C27" s="1">
        <v>43669</v>
      </c>
      <c r="D27" t="s">
        <v>28</v>
      </c>
      <c r="E27" t="s">
        <v>56</v>
      </c>
      <c r="F27" t="s">
        <v>29</v>
      </c>
      <c r="H27">
        <v>100</v>
      </c>
      <c r="I27" s="7">
        <v>13</v>
      </c>
      <c r="J27" s="8"/>
      <c r="K27" s="7">
        <v>1300</v>
      </c>
      <c r="L27" s="7"/>
    </row>
    <row r="28" spans="1:12">
      <c r="A28" t="s">
        <v>14</v>
      </c>
      <c r="C28" s="1">
        <v>43678</v>
      </c>
      <c r="D28" t="s">
        <v>28</v>
      </c>
      <c r="E28" t="s">
        <v>38</v>
      </c>
      <c r="F28" t="s">
        <v>171</v>
      </c>
      <c r="H28">
        <v>100</v>
      </c>
      <c r="I28" s="7">
        <v>1</v>
      </c>
      <c r="J28" s="8"/>
      <c r="K28" s="7">
        <v>100</v>
      </c>
      <c r="L28" s="7"/>
    </row>
    <row r="29" spans="1:12">
      <c r="A29" t="s">
        <v>14</v>
      </c>
      <c r="C29" s="1">
        <v>43682</v>
      </c>
      <c r="D29" t="s">
        <v>28</v>
      </c>
      <c r="E29" t="s">
        <v>53</v>
      </c>
      <c r="F29" t="s">
        <v>170</v>
      </c>
      <c r="H29">
        <v>13</v>
      </c>
      <c r="I29" s="7">
        <v>18</v>
      </c>
      <c r="J29" s="8"/>
      <c r="K29" s="7">
        <v>234</v>
      </c>
      <c r="L29" s="7"/>
    </row>
    <row r="30" spans="1:12">
      <c r="A30" t="s">
        <v>14</v>
      </c>
      <c r="C30" s="1">
        <v>43728</v>
      </c>
      <c r="D30" t="s">
        <v>28</v>
      </c>
      <c r="E30" t="s">
        <v>68</v>
      </c>
      <c r="F30" t="s">
        <v>172</v>
      </c>
      <c r="H30">
        <v>100</v>
      </c>
      <c r="I30" s="7">
        <v>0.5</v>
      </c>
      <c r="J30" s="8"/>
      <c r="K30" s="7">
        <v>50</v>
      </c>
      <c r="L30" s="7"/>
    </row>
    <row r="31" spans="1:12">
      <c r="A31" t="s">
        <v>14</v>
      </c>
      <c r="C31" s="1">
        <v>43768</v>
      </c>
      <c r="D31" t="s">
        <v>28</v>
      </c>
      <c r="E31" t="s">
        <v>50</v>
      </c>
      <c r="F31" t="s">
        <v>173</v>
      </c>
      <c r="H31">
        <v>106</v>
      </c>
      <c r="I31" s="7">
        <v>8</v>
      </c>
      <c r="J31" s="8"/>
      <c r="K31" s="7">
        <v>848</v>
      </c>
      <c r="L31" s="7"/>
    </row>
    <row r="32" spans="1:12">
      <c r="A32" t="s">
        <v>14</v>
      </c>
      <c r="C32" s="1">
        <v>43920</v>
      </c>
      <c r="D32" t="s">
        <v>28</v>
      </c>
      <c r="E32" t="s">
        <v>53</v>
      </c>
      <c r="F32" t="s">
        <v>170</v>
      </c>
      <c r="H32">
        <v>13</v>
      </c>
      <c r="I32" s="7">
        <v>10</v>
      </c>
      <c r="J32" s="8"/>
      <c r="K32" s="7">
        <v>130</v>
      </c>
      <c r="L32" s="7"/>
    </row>
    <row r="33" spans="1:14">
      <c r="A33" t="s">
        <v>14</v>
      </c>
      <c r="C33" s="1">
        <v>44015</v>
      </c>
      <c r="D33" t="s">
        <v>28</v>
      </c>
      <c r="E33" t="s">
        <v>50</v>
      </c>
      <c r="F33" t="s">
        <v>173</v>
      </c>
      <c r="H33">
        <v>106</v>
      </c>
      <c r="I33" s="7">
        <v>9.5</v>
      </c>
      <c r="J33" s="8"/>
      <c r="K33" s="7">
        <v>1007</v>
      </c>
      <c r="L33" s="7"/>
    </row>
    <row r="34" spans="1:14">
      <c r="A34" t="s">
        <v>14</v>
      </c>
      <c r="C34" s="1">
        <v>44060</v>
      </c>
      <c r="D34" t="s">
        <v>28</v>
      </c>
      <c r="E34" t="s">
        <v>53</v>
      </c>
      <c r="F34" t="s">
        <v>170</v>
      </c>
      <c r="H34">
        <v>43</v>
      </c>
      <c r="I34" s="7">
        <v>8</v>
      </c>
      <c r="J34" s="8"/>
      <c r="K34" s="7">
        <v>344</v>
      </c>
      <c r="L34" s="7"/>
    </row>
    <row r="35" spans="1:14">
      <c r="A35" t="s">
        <v>14</v>
      </c>
      <c r="C35" s="1">
        <v>44067</v>
      </c>
      <c r="D35" t="s">
        <v>28</v>
      </c>
      <c r="E35" t="s">
        <v>56</v>
      </c>
      <c r="F35" t="s">
        <v>29</v>
      </c>
      <c r="H35">
        <v>100</v>
      </c>
      <c r="I35" s="7">
        <v>10</v>
      </c>
      <c r="J35" s="8"/>
      <c r="K35" s="7">
        <v>1000</v>
      </c>
      <c r="L35" s="7"/>
    </row>
    <row r="36" spans="1:14">
      <c r="A36" t="s">
        <v>14</v>
      </c>
      <c r="C36" s="1">
        <v>44078</v>
      </c>
      <c r="D36" t="s">
        <v>28</v>
      </c>
      <c r="E36" t="s">
        <v>157</v>
      </c>
      <c r="F36" t="s">
        <v>174</v>
      </c>
      <c r="H36">
        <v>6</v>
      </c>
      <c r="I36" s="7">
        <v>105</v>
      </c>
      <c r="J36" s="8"/>
      <c r="K36" s="7">
        <v>630</v>
      </c>
      <c r="L36" s="7"/>
    </row>
    <row r="37" spans="1:14">
      <c r="A37" t="s">
        <v>82</v>
      </c>
      <c r="C37" s="1">
        <v>44078</v>
      </c>
      <c r="D37" s="11" t="s">
        <v>189</v>
      </c>
      <c r="E37" t="s">
        <v>157</v>
      </c>
      <c r="F37" t="s">
        <v>174</v>
      </c>
      <c r="H37">
        <v>2</v>
      </c>
      <c r="I37" s="7">
        <v>105</v>
      </c>
      <c r="J37" s="8"/>
      <c r="K37" s="7">
        <v>210</v>
      </c>
      <c r="L37" s="7"/>
      <c r="M37" s="7">
        <v>0</v>
      </c>
      <c r="N37">
        <v>0</v>
      </c>
    </row>
    <row r="38" spans="1:14">
      <c r="A38" t="s">
        <v>14</v>
      </c>
      <c r="C38" s="1">
        <v>44145</v>
      </c>
      <c r="D38" t="s">
        <v>28</v>
      </c>
      <c r="E38" t="s">
        <v>53</v>
      </c>
      <c r="F38" t="s">
        <v>170</v>
      </c>
      <c r="H38">
        <v>43</v>
      </c>
      <c r="I38" s="7">
        <v>18</v>
      </c>
      <c r="J38" s="8"/>
      <c r="K38" s="7">
        <v>774</v>
      </c>
      <c r="L38" s="7"/>
    </row>
    <row r="39" spans="1:14">
      <c r="A39" t="s">
        <v>14</v>
      </c>
      <c r="C39" s="1">
        <v>44148</v>
      </c>
      <c r="D39" t="s">
        <v>28</v>
      </c>
      <c r="E39" t="s">
        <v>50</v>
      </c>
      <c r="F39" t="s">
        <v>173</v>
      </c>
      <c r="H39">
        <v>106</v>
      </c>
      <c r="I39" s="7">
        <v>12</v>
      </c>
      <c r="J39" s="8"/>
      <c r="K39" s="7">
        <v>1272</v>
      </c>
      <c r="L39" s="7"/>
    </row>
    <row r="40" spans="1:14">
      <c r="A40" t="s">
        <v>14</v>
      </c>
      <c r="C40" s="1">
        <v>44243</v>
      </c>
      <c r="D40" t="s">
        <v>28</v>
      </c>
      <c r="E40" t="s">
        <v>446</v>
      </c>
      <c r="F40" t="s">
        <v>175</v>
      </c>
      <c r="H40">
        <v>50</v>
      </c>
      <c r="I40" s="7">
        <v>7</v>
      </c>
      <c r="J40" s="8"/>
      <c r="K40" s="7">
        <v>350</v>
      </c>
      <c r="L40" s="7"/>
    </row>
    <row r="41" spans="1:14">
      <c r="A41" s="16" t="s">
        <v>14</v>
      </c>
      <c r="B41" s="16"/>
      <c r="C41" s="1">
        <v>44348</v>
      </c>
      <c r="D41" s="16" t="s">
        <v>28</v>
      </c>
      <c r="E41" t="s">
        <v>50</v>
      </c>
      <c r="F41" s="16" t="s">
        <v>173</v>
      </c>
      <c r="G41" s="16"/>
      <c r="H41" s="16">
        <v>106</v>
      </c>
      <c r="I41" s="17">
        <v>15</v>
      </c>
      <c r="J41" s="18"/>
      <c r="K41" s="17">
        <v>1590</v>
      </c>
      <c r="L41" s="17"/>
      <c r="M41" s="16"/>
      <c r="N41" s="16"/>
    </row>
    <row r="42" spans="1:14">
      <c r="A42" s="16" t="s">
        <v>14</v>
      </c>
      <c r="B42" s="16"/>
      <c r="C42" s="1">
        <v>44348</v>
      </c>
      <c r="D42" s="16" t="s">
        <v>28</v>
      </c>
      <c r="E42" t="s">
        <v>50</v>
      </c>
      <c r="F42" s="16" t="s">
        <v>173</v>
      </c>
      <c r="G42" s="16"/>
      <c r="H42" s="16">
        <v>106</v>
      </c>
      <c r="I42" s="17">
        <v>15</v>
      </c>
      <c r="J42" s="18"/>
      <c r="K42" s="17">
        <v>1590</v>
      </c>
      <c r="L42" s="17"/>
      <c r="M42" s="16"/>
      <c r="N42" s="16"/>
    </row>
    <row r="43" spans="1:14">
      <c r="A43" t="s">
        <v>82</v>
      </c>
      <c r="C43" s="1">
        <v>44358</v>
      </c>
      <c r="D43" s="11" t="s">
        <v>189</v>
      </c>
      <c r="E43" t="s">
        <v>156</v>
      </c>
      <c r="F43" t="s">
        <v>190</v>
      </c>
      <c r="G43" t="s">
        <v>183</v>
      </c>
      <c r="H43">
        <v>50</v>
      </c>
      <c r="I43" s="7">
        <v>5.75</v>
      </c>
      <c r="J43" s="8"/>
      <c r="K43" s="7">
        <v>288</v>
      </c>
      <c r="L43" s="7"/>
      <c r="M43" s="7"/>
    </row>
    <row r="44" spans="1:14">
      <c r="A44" t="s">
        <v>14</v>
      </c>
      <c r="C44" s="1">
        <v>44379</v>
      </c>
      <c r="D44" t="s">
        <v>28</v>
      </c>
      <c r="E44" t="s">
        <v>56</v>
      </c>
      <c r="F44" t="s">
        <v>29</v>
      </c>
      <c r="H44">
        <v>100</v>
      </c>
      <c r="I44" s="7">
        <v>25</v>
      </c>
      <c r="J44" s="8"/>
      <c r="K44" s="7">
        <v>2500</v>
      </c>
      <c r="L44" s="7"/>
    </row>
    <row r="45" spans="1:14">
      <c r="A45" t="s">
        <v>14</v>
      </c>
      <c r="C45" s="1">
        <v>44406</v>
      </c>
      <c r="D45" t="s">
        <v>28</v>
      </c>
      <c r="E45" t="s">
        <v>44</v>
      </c>
      <c r="F45" t="s">
        <v>527</v>
      </c>
      <c r="H45">
        <v>50</v>
      </c>
      <c r="I45" s="7">
        <v>0.4</v>
      </c>
      <c r="J45" s="8"/>
      <c r="K45" s="7">
        <v>20</v>
      </c>
      <c r="L45" s="7"/>
    </row>
    <row r="46" spans="1:14">
      <c r="A46" t="s">
        <v>82</v>
      </c>
      <c r="C46" s="1">
        <v>44416</v>
      </c>
      <c r="D46" s="11" t="s">
        <v>189</v>
      </c>
      <c r="E46" t="s">
        <v>19</v>
      </c>
      <c r="F46" t="s">
        <v>494</v>
      </c>
      <c r="H46">
        <v>10</v>
      </c>
      <c r="I46" s="7"/>
      <c r="J46" s="8"/>
      <c r="K46" s="7">
        <v>65</v>
      </c>
      <c r="L46" s="7"/>
      <c r="M46" s="7">
        <v>0</v>
      </c>
      <c r="N46">
        <v>0</v>
      </c>
    </row>
    <row r="47" spans="1:14">
      <c r="A47" t="s">
        <v>14</v>
      </c>
      <c r="B47" s="1">
        <v>44376</v>
      </c>
      <c r="C47" s="1">
        <v>44418</v>
      </c>
      <c r="D47" t="s">
        <v>15</v>
      </c>
      <c r="E47" t="s">
        <v>176</v>
      </c>
      <c r="F47" t="s">
        <v>494</v>
      </c>
      <c r="G47" t="s">
        <v>177</v>
      </c>
      <c r="H47">
        <v>10</v>
      </c>
      <c r="I47" s="7">
        <v>6.5</v>
      </c>
      <c r="J47" s="8"/>
      <c r="K47" s="7">
        <v>65</v>
      </c>
      <c r="L47" s="7"/>
    </row>
    <row r="48" spans="1:14">
      <c r="A48" t="s">
        <v>82</v>
      </c>
      <c r="C48" s="1">
        <v>44418</v>
      </c>
      <c r="D48" s="11" t="s">
        <v>189</v>
      </c>
      <c r="E48" t="s">
        <v>19</v>
      </c>
      <c r="F48" t="s">
        <v>494</v>
      </c>
      <c r="G48" t="s">
        <v>183</v>
      </c>
      <c r="H48">
        <v>10</v>
      </c>
      <c r="I48" s="7">
        <v>6.5</v>
      </c>
      <c r="J48" s="8"/>
      <c r="K48" s="7">
        <v>65</v>
      </c>
      <c r="L48" s="7"/>
      <c r="M48" s="7"/>
    </row>
    <row r="49" spans="1:14">
      <c r="A49" t="s">
        <v>14</v>
      </c>
      <c r="C49" s="1">
        <v>44420</v>
      </c>
      <c r="D49" t="s">
        <v>28</v>
      </c>
      <c r="E49" t="s">
        <v>157</v>
      </c>
      <c r="F49" t="s">
        <v>174</v>
      </c>
      <c r="H49">
        <v>6</v>
      </c>
      <c r="I49" s="7">
        <v>115</v>
      </c>
      <c r="J49" s="8"/>
      <c r="K49" s="7">
        <v>690</v>
      </c>
      <c r="L49" s="7"/>
    </row>
    <row r="50" spans="1:14">
      <c r="A50" t="s">
        <v>14</v>
      </c>
      <c r="C50" s="1">
        <v>44420</v>
      </c>
      <c r="D50" t="s">
        <v>28</v>
      </c>
      <c r="E50" t="s">
        <v>53</v>
      </c>
      <c r="F50" t="s">
        <v>170</v>
      </c>
      <c r="H50">
        <v>43</v>
      </c>
      <c r="I50" s="7">
        <v>18</v>
      </c>
      <c r="J50" s="8"/>
      <c r="K50" s="7">
        <v>774</v>
      </c>
      <c r="L50" s="7"/>
    </row>
    <row r="51" spans="1:14">
      <c r="A51" t="s">
        <v>82</v>
      </c>
      <c r="C51" s="1">
        <v>44420</v>
      </c>
      <c r="D51" s="11" t="s">
        <v>189</v>
      </c>
      <c r="E51" t="s">
        <v>157</v>
      </c>
      <c r="F51" t="s">
        <v>174</v>
      </c>
      <c r="G51" t="s">
        <v>183</v>
      </c>
      <c r="H51">
        <v>2</v>
      </c>
      <c r="I51" s="7">
        <v>115</v>
      </c>
      <c r="J51" s="8"/>
      <c r="K51" s="7">
        <v>230</v>
      </c>
      <c r="L51" s="7"/>
      <c r="M51" s="7"/>
    </row>
    <row r="52" spans="1:14">
      <c r="A52" t="s">
        <v>82</v>
      </c>
      <c r="C52" s="1">
        <v>44421</v>
      </c>
      <c r="D52" s="11" t="s">
        <v>189</v>
      </c>
      <c r="E52" t="s">
        <v>156</v>
      </c>
      <c r="F52" t="s">
        <v>190</v>
      </c>
      <c r="H52">
        <v>50</v>
      </c>
      <c r="I52" s="7"/>
      <c r="J52" s="8"/>
      <c r="K52" s="7">
        <v>288</v>
      </c>
      <c r="L52" s="7"/>
      <c r="M52" s="7">
        <v>0</v>
      </c>
      <c r="N52">
        <v>0</v>
      </c>
    </row>
    <row r="53" spans="1:14">
      <c r="A53" t="s">
        <v>14</v>
      </c>
      <c r="B53" s="1">
        <v>44376</v>
      </c>
      <c r="C53" s="1">
        <v>44440</v>
      </c>
      <c r="D53" t="s">
        <v>15</v>
      </c>
      <c r="E53" t="s">
        <v>179</v>
      </c>
      <c r="F53" t="s">
        <v>178</v>
      </c>
      <c r="G53" t="s">
        <v>177</v>
      </c>
      <c r="H53">
        <v>20</v>
      </c>
      <c r="I53" s="7">
        <v>2</v>
      </c>
      <c r="J53" s="8"/>
      <c r="K53" s="7">
        <v>40</v>
      </c>
      <c r="L53" s="7"/>
    </row>
    <row r="54" spans="1:14">
      <c r="A54" t="s">
        <v>14</v>
      </c>
      <c r="C54" s="1">
        <v>44487</v>
      </c>
      <c r="D54" t="s">
        <v>28</v>
      </c>
      <c r="E54" t="s">
        <v>68</v>
      </c>
      <c r="F54" t="s">
        <v>172</v>
      </c>
      <c r="H54">
        <v>100</v>
      </c>
      <c r="I54" s="7">
        <v>1.8</v>
      </c>
      <c r="J54" s="8"/>
      <c r="K54" s="7">
        <v>180</v>
      </c>
      <c r="L54" s="7"/>
    </row>
    <row r="55" spans="1:14">
      <c r="A55" t="s">
        <v>14</v>
      </c>
      <c r="C55" s="1">
        <v>44490</v>
      </c>
      <c r="D55" t="s">
        <v>28</v>
      </c>
      <c r="E55" t="s">
        <v>48</v>
      </c>
      <c r="F55" t="s">
        <v>49</v>
      </c>
      <c r="H55">
        <v>20</v>
      </c>
      <c r="I55" s="7">
        <v>5</v>
      </c>
      <c r="J55" s="8"/>
      <c r="K55" s="7">
        <v>100</v>
      </c>
      <c r="L55" s="7"/>
    </row>
    <row r="56" spans="1:14">
      <c r="A56" t="s">
        <v>14</v>
      </c>
      <c r="C56" s="1">
        <v>44510</v>
      </c>
      <c r="D56" t="s">
        <v>28</v>
      </c>
      <c r="E56" t="s">
        <v>50</v>
      </c>
      <c r="F56" t="s">
        <v>173</v>
      </c>
      <c r="H56">
        <v>106</v>
      </c>
      <c r="I56" s="7">
        <v>15</v>
      </c>
      <c r="J56" s="8"/>
      <c r="K56" s="7">
        <v>1590</v>
      </c>
      <c r="L56" s="7"/>
    </row>
    <row r="57" spans="1:14">
      <c r="A57" t="s">
        <v>14</v>
      </c>
      <c r="C57" s="1">
        <v>44524</v>
      </c>
      <c r="D57" t="s">
        <v>28</v>
      </c>
      <c r="E57" t="s">
        <v>68</v>
      </c>
      <c r="F57" t="s">
        <v>172</v>
      </c>
      <c r="H57">
        <v>100</v>
      </c>
      <c r="I57" s="7">
        <v>4</v>
      </c>
      <c r="J57" s="8"/>
      <c r="K57" s="7">
        <v>400</v>
      </c>
      <c r="L57" s="7"/>
    </row>
    <row r="58" spans="1:14">
      <c r="A58" t="s">
        <v>14</v>
      </c>
      <c r="C58" s="1">
        <v>44600</v>
      </c>
      <c r="D58" t="s">
        <v>28</v>
      </c>
      <c r="E58" t="s">
        <v>446</v>
      </c>
      <c r="F58" t="s">
        <v>175</v>
      </c>
      <c r="H58">
        <v>50</v>
      </c>
      <c r="I58" s="7">
        <v>8</v>
      </c>
      <c r="J58" s="8"/>
      <c r="K58" s="7">
        <v>400</v>
      </c>
      <c r="L58" s="7"/>
    </row>
    <row r="59" spans="1:14">
      <c r="A59" t="s">
        <v>82</v>
      </c>
      <c r="C59" s="1">
        <v>44607</v>
      </c>
      <c r="D59" s="11" t="s">
        <v>189</v>
      </c>
      <c r="E59" t="s">
        <v>156</v>
      </c>
      <c r="F59" t="s">
        <v>190</v>
      </c>
      <c r="G59" t="s">
        <v>186</v>
      </c>
      <c r="H59">
        <v>50</v>
      </c>
      <c r="I59" s="7">
        <v>5.25</v>
      </c>
      <c r="J59" s="8"/>
      <c r="K59" s="7">
        <v>263</v>
      </c>
      <c r="L59" s="7"/>
      <c r="M59" s="7"/>
    </row>
    <row r="60" spans="1:14">
      <c r="A60" t="s">
        <v>14</v>
      </c>
      <c r="C60" s="1">
        <v>44624</v>
      </c>
      <c r="D60" t="s">
        <v>28</v>
      </c>
      <c r="E60" t="s">
        <v>63</v>
      </c>
      <c r="F60" t="s">
        <v>49</v>
      </c>
      <c r="H60">
        <v>100</v>
      </c>
      <c r="I60" s="7">
        <v>2</v>
      </c>
      <c r="J60" s="8"/>
      <c r="K60" s="7">
        <v>200</v>
      </c>
      <c r="L60" s="7"/>
    </row>
    <row r="61" spans="1:14">
      <c r="A61" t="s">
        <v>82</v>
      </c>
      <c r="C61" s="1">
        <v>44624</v>
      </c>
      <c r="D61" s="11" t="s">
        <v>189</v>
      </c>
      <c r="E61" t="s">
        <v>156</v>
      </c>
      <c r="F61" t="s">
        <v>190</v>
      </c>
      <c r="H61">
        <v>50</v>
      </c>
      <c r="I61" s="7"/>
      <c r="J61" s="8"/>
      <c r="K61" s="7">
        <v>263</v>
      </c>
      <c r="L61" s="7"/>
      <c r="M61" s="7">
        <v>0</v>
      </c>
      <c r="N61">
        <v>0</v>
      </c>
    </row>
    <row r="62" spans="1:14">
      <c r="A62" t="s">
        <v>14</v>
      </c>
      <c r="C62" s="1">
        <v>44664</v>
      </c>
      <c r="D62" t="s">
        <v>28</v>
      </c>
      <c r="E62" t="s">
        <v>68</v>
      </c>
      <c r="F62" t="s">
        <v>172</v>
      </c>
      <c r="H62">
        <v>100</v>
      </c>
      <c r="I62" s="7">
        <v>2.5</v>
      </c>
      <c r="J62" s="8"/>
      <c r="K62" s="7">
        <v>250</v>
      </c>
      <c r="L62" s="7"/>
    </row>
    <row r="63" spans="1:14">
      <c r="A63" t="s">
        <v>14</v>
      </c>
      <c r="C63" s="1">
        <v>44740</v>
      </c>
      <c r="D63" t="s">
        <v>28</v>
      </c>
      <c r="E63" t="s">
        <v>50</v>
      </c>
      <c r="F63" t="s">
        <v>173</v>
      </c>
      <c r="H63">
        <v>106</v>
      </c>
      <c r="I63" s="7">
        <v>16</v>
      </c>
      <c r="J63" s="8"/>
      <c r="K63" s="7">
        <v>1696</v>
      </c>
      <c r="L63" s="7"/>
    </row>
    <row r="64" spans="1:14">
      <c r="A64" t="s">
        <v>14</v>
      </c>
      <c r="C64" s="1">
        <v>44744</v>
      </c>
      <c r="D64" t="s">
        <v>28</v>
      </c>
      <c r="E64" t="s">
        <v>56</v>
      </c>
      <c r="F64" t="s">
        <v>29</v>
      </c>
      <c r="H64">
        <v>100</v>
      </c>
      <c r="I64" s="7">
        <v>45.9</v>
      </c>
      <c r="J64" s="8"/>
      <c r="K64" s="7">
        <v>4590</v>
      </c>
      <c r="L64" s="7"/>
    </row>
    <row r="65" spans="1:14">
      <c r="A65" t="s">
        <v>14</v>
      </c>
      <c r="C65" s="1">
        <v>44744</v>
      </c>
      <c r="D65" t="s">
        <v>28</v>
      </c>
      <c r="E65" t="s">
        <v>56</v>
      </c>
      <c r="F65" t="s">
        <v>29</v>
      </c>
      <c r="H65">
        <v>100</v>
      </c>
      <c r="I65" s="7">
        <v>51</v>
      </c>
      <c r="J65" s="8"/>
      <c r="K65" s="7">
        <v>5100</v>
      </c>
      <c r="L65" s="7"/>
      <c r="M65">
        <v>510</v>
      </c>
      <c r="N65">
        <v>4590</v>
      </c>
    </row>
    <row r="66" spans="1:14">
      <c r="A66" t="s">
        <v>14</v>
      </c>
      <c r="C66" s="1">
        <v>44749</v>
      </c>
      <c r="D66" t="s">
        <v>28</v>
      </c>
      <c r="E66" t="s">
        <v>44</v>
      </c>
      <c r="F66" t="s">
        <v>527</v>
      </c>
      <c r="H66">
        <v>55</v>
      </c>
      <c r="I66" s="7">
        <v>0.4</v>
      </c>
      <c r="J66" s="8"/>
      <c r="K66" s="7">
        <v>22</v>
      </c>
      <c r="L66" s="7"/>
    </row>
    <row r="67" spans="1:14">
      <c r="A67" t="s">
        <v>14</v>
      </c>
      <c r="C67" s="1">
        <v>44756</v>
      </c>
      <c r="D67" t="s">
        <v>28</v>
      </c>
      <c r="E67" t="s">
        <v>38</v>
      </c>
      <c r="F67" t="s">
        <v>171</v>
      </c>
      <c r="H67">
        <v>184</v>
      </c>
      <c r="I67" s="7">
        <v>0.92</v>
      </c>
      <c r="J67" s="8"/>
      <c r="K67" s="7">
        <v>92</v>
      </c>
      <c r="L67" s="7"/>
    </row>
    <row r="68" spans="1:14">
      <c r="A68" t="s">
        <v>14</v>
      </c>
      <c r="B68" s="1">
        <v>44727</v>
      </c>
      <c r="C68" s="1">
        <v>44757</v>
      </c>
      <c r="D68" t="s">
        <v>15</v>
      </c>
      <c r="E68" t="s">
        <v>21</v>
      </c>
      <c r="F68" t="s">
        <v>180</v>
      </c>
      <c r="G68" t="s">
        <v>177</v>
      </c>
      <c r="H68">
        <v>100</v>
      </c>
      <c r="I68" s="7">
        <v>6.5</v>
      </c>
      <c r="J68" s="8"/>
      <c r="K68" s="7">
        <v>650</v>
      </c>
      <c r="L68" s="7"/>
    </row>
    <row r="69" spans="1:14">
      <c r="A69" t="s">
        <v>14</v>
      </c>
      <c r="C69" s="1">
        <v>44757</v>
      </c>
      <c r="D69" t="s">
        <v>28</v>
      </c>
      <c r="E69" s="29" t="s">
        <v>51</v>
      </c>
      <c r="F69" t="s">
        <v>181</v>
      </c>
      <c r="H69">
        <v>500</v>
      </c>
      <c r="I69" s="7">
        <v>0.5</v>
      </c>
      <c r="J69" s="8"/>
      <c r="K69" s="7">
        <v>250</v>
      </c>
      <c r="L69" s="7"/>
    </row>
    <row r="70" spans="1:14">
      <c r="A70" t="s">
        <v>14</v>
      </c>
      <c r="B70" s="9">
        <v>44693</v>
      </c>
      <c r="C70" s="1">
        <v>44760</v>
      </c>
      <c r="D70" t="s">
        <v>15</v>
      </c>
      <c r="E70" t="s">
        <v>19</v>
      </c>
      <c r="F70" t="s">
        <v>494</v>
      </c>
      <c r="G70" t="s">
        <v>177</v>
      </c>
      <c r="H70">
        <v>20</v>
      </c>
      <c r="I70" s="7">
        <v>15.5</v>
      </c>
      <c r="J70" s="8"/>
      <c r="K70" s="7">
        <v>310</v>
      </c>
      <c r="L70" s="7"/>
    </row>
    <row r="71" spans="1:14">
      <c r="A71" t="s">
        <v>82</v>
      </c>
      <c r="B71" s="14"/>
      <c r="C71" s="1">
        <v>44760</v>
      </c>
      <c r="D71" s="11" t="s">
        <v>189</v>
      </c>
      <c r="E71" t="s">
        <v>19</v>
      </c>
      <c r="F71" t="s">
        <v>494</v>
      </c>
      <c r="H71">
        <v>10</v>
      </c>
      <c r="I71" s="7"/>
      <c r="J71" s="8"/>
      <c r="K71" s="7">
        <v>155</v>
      </c>
      <c r="L71" s="7"/>
      <c r="M71" s="7">
        <v>0</v>
      </c>
      <c r="N71">
        <v>0</v>
      </c>
    </row>
    <row r="72" spans="1:14">
      <c r="A72" t="s">
        <v>82</v>
      </c>
      <c r="B72" s="14"/>
      <c r="C72" s="1">
        <v>44764</v>
      </c>
      <c r="D72" s="11" t="s">
        <v>189</v>
      </c>
      <c r="E72" t="s">
        <v>156</v>
      </c>
      <c r="F72" t="s">
        <v>190</v>
      </c>
      <c r="H72">
        <v>50</v>
      </c>
      <c r="I72" s="7"/>
      <c r="J72" s="8"/>
      <c r="K72" s="7">
        <v>313</v>
      </c>
      <c r="L72" s="7"/>
      <c r="M72" s="7">
        <v>0</v>
      </c>
      <c r="N72">
        <v>0</v>
      </c>
    </row>
    <row r="73" spans="1:14">
      <c r="A73" t="s">
        <v>14</v>
      </c>
      <c r="B73" s="14"/>
      <c r="C73" s="1">
        <v>44781</v>
      </c>
      <c r="D73" t="s">
        <v>28</v>
      </c>
      <c r="E73" t="s">
        <v>53</v>
      </c>
      <c r="F73" t="s">
        <v>170</v>
      </c>
      <c r="H73">
        <v>43</v>
      </c>
      <c r="I73" s="7">
        <v>22</v>
      </c>
      <c r="J73" s="8"/>
      <c r="K73" s="7">
        <v>946</v>
      </c>
      <c r="L73" s="7"/>
    </row>
    <row r="74" spans="1:14">
      <c r="A74" t="s">
        <v>14</v>
      </c>
      <c r="B74" s="14"/>
      <c r="C74" s="1">
        <v>44783</v>
      </c>
      <c r="D74" t="s">
        <v>28</v>
      </c>
      <c r="E74" t="s">
        <v>157</v>
      </c>
      <c r="F74" t="s">
        <v>174</v>
      </c>
      <c r="G74" t="s">
        <v>183</v>
      </c>
      <c r="H74">
        <v>6</v>
      </c>
      <c r="I74" s="7">
        <v>210</v>
      </c>
      <c r="J74" s="8"/>
      <c r="K74" s="7">
        <v>1260</v>
      </c>
      <c r="L74" s="7"/>
    </row>
    <row r="75" spans="1:14">
      <c r="A75" t="s">
        <v>82</v>
      </c>
      <c r="B75" s="14"/>
      <c r="C75" s="1">
        <v>44783</v>
      </c>
      <c r="D75" s="11" t="s">
        <v>189</v>
      </c>
      <c r="E75" t="s">
        <v>157</v>
      </c>
      <c r="F75" t="s">
        <v>174</v>
      </c>
      <c r="H75">
        <v>2</v>
      </c>
      <c r="I75" s="7"/>
      <c r="J75" s="8"/>
      <c r="K75" s="7">
        <v>420</v>
      </c>
      <c r="L75" s="7"/>
      <c r="M75" s="7">
        <v>0</v>
      </c>
      <c r="N75">
        <v>0</v>
      </c>
    </row>
    <row r="76" spans="1:14">
      <c r="A76" s="16" t="s">
        <v>82</v>
      </c>
      <c r="B76" s="19"/>
      <c r="C76" s="1">
        <v>44785</v>
      </c>
      <c r="D76" s="20" t="s">
        <v>189</v>
      </c>
      <c r="E76" t="s">
        <v>157</v>
      </c>
      <c r="F76" s="16" t="s">
        <v>174</v>
      </c>
      <c r="G76" s="16"/>
      <c r="H76" s="16">
        <v>2</v>
      </c>
      <c r="I76" s="17"/>
      <c r="J76" s="18"/>
      <c r="K76" s="17">
        <v>230</v>
      </c>
      <c r="L76" s="17"/>
      <c r="M76" s="17">
        <v>0</v>
      </c>
      <c r="N76" s="16">
        <v>0</v>
      </c>
    </row>
    <row r="77" spans="1:14">
      <c r="A77" t="s">
        <v>14</v>
      </c>
      <c r="B77" s="9">
        <v>44782</v>
      </c>
      <c r="C77" s="1">
        <v>44805</v>
      </c>
      <c r="D77" t="s">
        <v>15</v>
      </c>
      <c r="E77" t="s">
        <v>16</v>
      </c>
      <c r="F77" t="s">
        <v>178</v>
      </c>
      <c r="G77" t="s">
        <v>177</v>
      </c>
      <c r="H77">
        <v>40</v>
      </c>
      <c r="I77" s="7">
        <v>5</v>
      </c>
      <c r="J77" s="8"/>
      <c r="K77" s="7">
        <v>200</v>
      </c>
      <c r="L77" s="7"/>
    </row>
    <row r="78" spans="1:14">
      <c r="A78" t="s">
        <v>14</v>
      </c>
      <c r="B78" s="14"/>
      <c r="C78" s="1">
        <v>44823</v>
      </c>
      <c r="D78" t="s">
        <v>28</v>
      </c>
      <c r="E78" t="s">
        <v>63</v>
      </c>
      <c r="F78" t="s">
        <v>49</v>
      </c>
      <c r="H78">
        <v>100</v>
      </c>
      <c r="I78" s="7">
        <v>1.5</v>
      </c>
      <c r="J78" s="8"/>
      <c r="K78" s="7">
        <v>150</v>
      </c>
      <c r="L78" s="7"/>
    </row>
    <row r="79" spans="1:14">
      <c r="A79" t="s">
        <v>14</v>
      </c>
      <c r="B79" s="9">
        <v>44817</v>
      </c>
      <c r="C79" s="1">
        <v>44825</v>
      </c>
      <c r="D79" t="s">
        <v>15</v>
      </c>
      <c r="E79" t="s">
        <v>69</v>
      </c>
      <c r="F79" t="s">
        <v>182</v>
      </c>
      <c r="G79" t="s">
        <v>177</v>
      </c>
      <c r="H79">
        <v>69</v>
      </c>
      <c r="I79" s="7">
        <v>1</v>
      </c>
      <c r="J79" s="8"/>
      <c r="K79" s="7">
        <v>69</v>
      </c>
      <c r="L79" s="7"/>
    </row>
    <row r="80" spans="1:14">
      <c r="A80" t="s">
        <v>14</v>
      </c>
      <c r="C80" s="1">
        <v>44847</v>
      </c>
      <c r="D80" t="s">
        <v>28</v>
      </c>
      <c r="E80" t="s">
        <v>68</v>
      </c>
      <c r="F80" t="s">
        <v>172</v>
      </c>
      <c r="H80">
        <v>100</v>
      </c>
      <c r="I80" s="7">
        <v>2.25</v>
      </c>
      <c r="J80" s="8"/>
      <c r="K80" s="7">
        <v>225</v>
      </c>
      <c r="L80" s="7"/>
    </row>
    <row r="81" spans="1:14">
      <c r="A81" t="s">
        <v>14</v>
      </c>
      <c r="C81" s="1">
        <v>44875</v>
      </c>
      <c r="D81" t="s">
        <v>28</v>
      </c>
      <c r="E81" t="s">
        <v>50</v>
      </c>
      <c r="F81" t="s">
        <v>173</v>
      </c>
      <c r="H81">
        <v>106</v>
      </c>
      <c r="I81" s="7">
        <v>16.5</v>
      </c>
      <c r="J81" s="8"/>
      <c r="K81" s="7">
        <v>1749</v>
      </c>
      <c r="L81" s="7"/>
    </row>
    <row r="82" spans="1:14">
      <c r="A82" t="s">
        <v>14</v>
      </c>
      <c r="B82" s="1"/>
      <c r="C82" s="1">
        <v>44991</v>
      </c>
      <c r="D82" t="s">
        <v>28</v>
      </c>
      <c r="E82" t="s">
        <v>63</v>
      </c>
      <c r="F82" t="s">
        <v>49</v>
      </c>
      <c r="H82">
        <v>100</v>
      </c>
      <c r="I82" s="7">
        <v>3.5</v>
      </c>
      <c r="J82" s="8"/>
      <c r="K82" s="7">
        <v>350</v>
      </c>
      <c r="L82" s="7"/>
    </row>
    <row r="83" spans="1:14">
      <c r="A83" t="s">
        <v>14</v>
      </c>
      <c r="B83" s="1"/>
      <c r="C83" s="1">
        <v>44991</v>
      </c>
      <c r="D83" t="s">
        <v>28</v>
      </c>
      <c r="E83" t="s">
        <v>157</v>
      </c>
      <c r="F83" t="s">
        <v>174</v>
      </c>
      <c r="H83">
        <v>6</v>
      </c>
      <c r="I83" s="7">
        <v>280</v>
      </c>
      <c r="J83" s="8"/>
      <c r="K83" s="7">
        <v>1680</v>
      </c>
      <c r="L83" s="7"/>
    </row>
    <row r="84" spans="1:14">
      <c r="A84" t="s">
        <v>82</v>
      </c>
      <c r="B84" s="1"/>
      <c r="C84" s="1">
        <v>44991</v>
      </c>
      <c r="D84" t="s">
        <v>189</v>
      </c>
      <c r="E84" t="s">
        <v>157</v>
      </c>
      <c r="F84" t="s">
        <v>174</v>
      </c>
      <c r="H84">
        <v>2</v>
      </c>
      <c r="I84" s="7">
        <v>280</v>
      </c>
      <c r="J84" s="8"/>
      <c r="K84" s="7">
        <v>560</v>
      </c>
      <c r="L84" s="7"/>
    </row>
    <row r="85" spans="1:14">
      <c r="A85" t="s">
        <v>14</v>
      </c>
      <c r="B85" s="1"/>
      <c r="C85" s="1">
        <v>45026</v>
      </c>
      <c r="D85" t="s">
        <v>28</v>
      </c>
      <c r="E85" t="s">
        <v>68</v>
      </c>
      <c r="F85" t="s">
        <v>172</v>
      </c>
      <c r="H85">
        <v>100</v>
      </c>
      <c r="I85" s="7">
        <v>1</v>
      </c>
      <c r="J85" s="8"/>
      <c r="K85" s="7">
        <v>100</v>
      </c>
      <c r="L85" s="7"/>
    </row>
    <row r="86" spans="1:14">
      <c r="A86" t="s">
        <v>14</v>
      </c>
      <c r="B86" s="1"/>
      <c r="C86" s="1">
        <v>45109</v>
      </c>
      <c r="D86" t="s">
        <v>28</v>
      </c>
      <c r="E86" s="29" t="s">
        <v>51</v>
      </c>
      <c r="F86" t="s">
        <v>181</v>
      </c>
      <c r="H86">
        <v>500</v>
      </c>
      <c r="I86" s="7">
        <v>1.26</v>
      </c>
      <c r="J86" s="8"/>
      <c r="K86" s="7">
        <v>630</v>
      </c>
      <c r="L86" s="7"/>
    </row>
    <row r="87" spans="1:14">
      <c r="A87" t="s">
        <v>14</v>
      </c>
      <c r="B87" s="1"/>
      <c r="C87" s="1">
        <v>45110</v>
      </c>
      <c r="D87" t="s">
        <v>28</v>
      </c>
      <c r="E87" t="s">
        <v>50</v>
      </c>
      <c r="F87" t="s">
        <v>173</v>
      </c>
      <c r="H87">
        <v>126</v>
      </c>
      <c r="I87" s="7">
        <v>17.5</v>
      </c>
      <c r="J87" s="8"/>
      <c r="K87" s="7">
        <v>2205</v>
      </c>
      <c r="L87" s="7"/>
    </row>
    <row r="88" spans="1:14">
      <c r="A88" t="s">
        <v>82</v>
      </c>
      <c r="B88" s="1">
        <v>45113</v>
      </c>
      <c r="C88" s="1">
        <v>45114</v>
      </c>
      <c r="D88" s="11" t="s">
        <v>15</v>
      </c>
      <c r="E88" t="s">
        <v>138</v>
      </c>
      <c r="F88" t="s">
        <v>139</v>
      </c>
      <c r="G88" t="s">
        <v>183</v>
      </c>
      <c r="H88">
        <v>60</v>
      </c>
      <c r="I88" s="7">
        <v>1</v>
      </c>
      <c r="J88" s="8"/>
      <c r="K88" s="7">
        <v>60</v>
      </c>
      <c r="L88" s="7"/>
      <c r="M88" s="7">
        <v>0</v>
      </c>
      <c r="N88">
        <v>0</v>
      </c>
    </row>
    <row r="89" spans="1:14">
      <c r="A89" t="s">
        <v>14</v>
      </c>
      <c r="C89" s="1">
        <v>45117</v>
      </c>
      <c r="D89" t="s">
        <v>28</v>
      </c>
      <c r="E89" t="s">
        <v>62</v>
      </c>
      <c r="F89" t="s">
        <v>29</v>
      </c>
      <c r="H89">
        <v>1000</v>
      </c>
      <c r="I89" s="7">
        <v>3.6</v>
      </c>
      <c r="J89" s="8"/>
      <c r="K89" s="7">
        <v>3600</v>
      </c>
      <c r="L89" s="7"/>
    </row>
    <row r="90" spans="1:14">
      <c r="A90" t="s">
        <v>14</v>
      </c>
      <c r="B90" s="1">
        <v>45089</v>
      </c>
      <c r="C90" s="1">
        <v>45121</v>
      </c>
      <c r="D90" t="s">
        <v>15</v>
      </c>
      <c r="E90" t="s">
        <v>21</v>
      </c>
      <c r="F90" t="s">
        <v>180</v>
      </c>
      <c r="G90" t="s">
        <v>183</v>
      </c>
      <c r="H90">
        <v>200</v>
      </c>
      <c r="I90" s="7">
        <v>8.6</v>
      </c>
      <c r="J90" s="8"/>
      <c r="K90" s="7">
        <v>1720</v>
      </c>
      <c r="L90" s="7"/>
    </row>
    <row r="91" spans="1:14">
      <c r="A91" t="s">
        <v>14</v>
      </c>
      <c r="C91" s="1">
        <v>45139</v>
      </c>
      <c r="D91" t="s">
        <v>28</v>
      </c>
      <c r="E91" t="s">
        <v>38</v>
      </c>
      <c r="F91" t="s">
        <v>171</v>
      </c>
      <c r="H91">
        <v>184</v>
      </c>
      <c r="I91" s="7"/>
      <c r="J91" s="8"/>
      <c r="K91" s="7">
        <v>368</v>
      </c>
      <c r="L91" s="7"/>
    </row>
    <row r="92" spans="1:14">
      <c r="A92" t="s">
        <v>14</v>
      </c>
      <c r="B92" s="1"/>
      <c r="C92" s="1">
        <v>45148</v>
      </c>
      <c r="D92" t="s">
        <v>28</v>
      </c>
      <c r="E92" t="s">
        <v>157</v>
      </c>
      <c r="F92" t="s">
        <v>174</v>
      </c>
      <c r="H92">
        <v>6</v>
      </c>
      <c r="I92" s="7">
        <v>200</v>
      </c>
      <c r="J92" s="8"/>
      <c r="K92" s="7">
        <v>1200</v>
      </c>
      <c r="L92" s="7"/>
    </row>
    <row r="93" spans="1:14">
      <c r="A93" t="s">
        <v>14</v>
      </c>
      <c r="B93" s="1"/>
      <c r="C93" s="1">
        <v>45148</v>
      </c>
      <c r="D93" t="s">
        <v>189</v>
      </c>
      <c r="E93" t="s">
        <v>157</v>
      </c>
      <c r="F93" s="12" t="s">
        <v>174</v>
      </c>
      <c r="G93" s="12"/>
      <c r="H93" s="12">
        <v>2</v>
      </c>
      <c r="I93" s="13">
        <v>200</v>
      </c>
      <c r="J93" s="15"/>
      <c r="K93" s="13">
        <v>400</v>
      </c>
      <c r="L93" s="7"/>
    </row>
    <row r="94" spans="1:14">
      <c r="A94" t="s">
        <v>14</v>
      </c>
      <c r="B94" s="1"/>
      <c r="C94" s="1">
        <v>45149</v>
      </c>
      <c r="D94" t="s">
        <v>28</v>
      </c>
      <c r="E94" t="s">
        <v>145</v>
      </c>
      <c r="F94" t="s">
        <v>192</v>
      </c>
      <c r="H94">
        <v>50</v>
      </c>
      <c r="I94" s="7">
        <v>2</v>
      </c>
      <c r="J94" s="8"/>
      <c r="K94" s="7">
        <v>100</v>
      </c>
      <c r="L94" s="7"/>
    </row>
    <row r="95" spans="1:14">
      <c r="A95" t="s">
        <v>14</v>
      </c>
      <c r="B95" s="1">
        <v>45061</v>
      </c>
      <c r="C95" s="1">
        <v>45152</v>
      </c>
      <c r="D95" t="s">
        <v>15</v>
      </c>
      <c r="E95" t="s">
        <v>19</v>
      </c>
      <c r="F95" t="s">
        <v>494</v>
      </c>
      <c r="G95" t="s">
        <v>183</v>
      </c>
      <c r="H95">
        <v>100</v>
      </c>
      <c r="I95" s="7">
        <v>19</v>
      </c>
      <c r="J95" s="8"/>
      <c r="K95" s="7">
        <v>1900</v>
      </c>
      <c r="L95" s="7"/>
    </row>
    <row r="96" spans="1:14">
      <c r="A96" t="s">
        <v>14</v>
      </c>
      <c r="B96" s="1"/>
      <c r="C96" s="1">
        <v>45152</v>
      </c>
      <c r="D96" t="s">
        <v>28</v>
      </c>
      <c r="E96" t="s">
        <v>53</v>
      </c>
      <c r="F96" t="s">
        <v>170</v>
      </c>
      <c r="H96">
        <v>43</v>
      </c>
      <c r="I96" s="7">
        <v>6</v>
      </c>
      <c r="J96" s="8"/>
      <c r="K96" s="7">
        <v>258</v>
      </c>
      <c r="L96" s="7"/>
    </row>
    <row r="97" spans="1:13">
      <c r="A97" t="s">
        <v>14</v>
      </c>
      <c r="B97" s="1"/>
      <c r="C97" s="1">
        <v>45152</v>
      </c>
      <c r="D97" t="s">
        <v>28</v>
      </c>
      <c r="E97" t="s">
        <v>53</v>
      </c>
      <c r="F97" t="s">
        <v>170</v>
      </c>
      <c r="H97">
        <v>43</v>
      </c>
      <c r="I97" s="7">
        <v>24</v>
      </c>
      <c r="J97" s="8"/>
      <c r="K97" s="7">
        <v>1032</v>
      </c>
      <c r="L97" s="7"/>
    </row>
    <row r="98" spans="1:13">
      <c r="A98" t="s">
        <v>14</v>
      </c>
      <c r="B98" s="1">
        <v>45168</v>
      </c>
      <c r="C98" s="1">
        <v>45168</v>
      </c>
      <c r="D98" t="s">
        <v>15</v>
      </c>
      <c r="E98" t="s">
        <v>184</v>
      </c>
      <c r="F98" t="s">
        <v>70</v>
      </c>
      <c r="G98" t="s">
        <v>183</v>
      </c>
      <c r="H98">
        <v>69</v>
      </c>
      <c r="I98" s="7">
        <v>4.75</v>
      </c>
      <c r="J98" s="8"/>
      <c r="K98" s="7">
        <v>327.75</v>
      </c>
      <c r="L98" s="7"/>
    </row>
    <row r="99" spans="1:13">
      <c r="A99" t="s">
        <v>14</v>
      </c>
      <c r="B99" s="1">
        <v>45146</v>
      </c>
      <c r="C99" s="1">
        <v>45170</v>
      </c>
      <c r="D99" t="s">
        <v>15</v>
      </c>
      <c r="E99" t="s">
        <v>16</v>
      </c>
      <c r="F99" t="s">
        <v>185</v>
      </c>
      <c r="G99" t="s">
        <v>183</v>
      </c>
      <c r="H99">
        <v>100</v>
      </c>
      <c r="I99" s="7">
        <v>8</v>
      </c>
      <c r="J99" s="8"/>
      <c r="K99" s="7">
        <v>800</v>
      </c>
      <c r="L99" s="7"/>
    </row>
    <row r="100" spans="1:13">
      <c r="A100" t="s">
        <v>14</v>
      </c>
      <c r="B100" s="1"/>
      <c r="C100" s="1">
        <v>45187</v>
      </c>
      <c r="D100" t="s">
        <v>28</v>
      </c>
      <c r="E100" t="s">
        <v>63</v>
      </c>
      <c r="F100" t="s">
        <v>49</v>
      </c>
      <c r="H100">
        <v>100</v>
      </c>
      <c r="I100" s="7">
        <v>2</v>
      </c>
      <c r="J100" s="8"/>
      <c r="K100" s="7">
        <v>200</v>
      </c>
      <c r="L100" s="7"/>
    </row>
    <row r="101" spans="1:13">
      <c r="A101" t="s">
        <v>14</v>
      </c>
      <c r="C101" s="1">
        <v>45192</v>
      </c>
      <c r="D101" t="s">
        <v>28</v>
      </c>
      <c r="E101" t="s">
        <v>63</v>
      </c>
      <c r="F101" t="s">
        <v>49</v>
      </c>
      <c r="H101">
        <v>100</v>
      </c>
      <c r="I101" s="7">
        <v>4</v>
      </c>
      <c r="J101" s="8"/>
      <c r="K101" s="7">
        <v>400</v>
      </c>
      <c r="L101" s="7"/>
    </row>
    <row r="102" spans="1:13">
      <c r="A102" t="s">
        <v>14</v>
      </c>
      <c r="B102" s="1">
        <v>45189</v>
      </c>
      <c r="C102" s="1">
        <v>45222</v>
      </c>
      <c r="D102" t="s">
        <v>28</v>
      </c>
      <c r="E102" t="s">
        <v>68</v>
      </c>
      <c r="F102" t="s">
        <v>172</v>
      </c>
      <c r="H102">
        <v>100</v>
      </c>
      <c r="I102" s="7">
        <v>0.5</v>
      </c>
      <c r="J102" s="8"/>
      <c r="K102" s="7">
        <v>50</v>
      </c>
      <c r="L102" s="7"/>
    </row>
    <row r="103" spans="1:13">
      <c r="A103" t="s">
        <v>14</v>
      </c>
      <c r="B103" s="1"/>
      <c r="C103" s="1">
        <v>45236</v>
      </c>
      <c r="D103" t="s">
        <v>28</v>
      </c>
      <c r="E103" t="s">
        <v>50</v>
      </c>
      <c r="F103" t="s">
        <v>173</v>
      </c>
      <c r="H103">
        <v>126</v>
      </c>
      <c r="I103" s="7">
        <v>18</v>
      </c>
      <c r="J103" s="8"/>
      <c r="K103" s="7">
        <v>2268</v>
      </c>
      <c r="L103" s="7"/>
    </row>
    <row r="104" spans="1:13">
      <c r="A104" t="s">
        <v>14</v>
      </c>
      <c r="B104" s="1">
        <v>45247</v>
      </c>
      <c r="C104" s="1">
        <v>45261</v>
      </c>
      <c r="D104" t="s">
        <v>28</v>
      </c>
      <c r="E104" t="s">
        <v>63</v>
      </c>
      <c r="F104" t="s">
        <v>49</v>
      </c>
      <c r="H104">
        <v>100</v>
      </c>
      <c r="I104" s="7">
        <v>2.5</v>
      </c>
      <c r="J104" s="8"/>
      <c r="K104" s="7">
        <v>250</v>
      </c>
      <c r="L104" s="7"/>
    </row>
    <row r="105" spans="1:13">
      <c r="A105" t="s">
        <v>14</v>
      </c>
      <c r="B105" s="1">
        <v>45322</v>
      </c>
      <c r="C105" s="1">
        <v>45338</v>
      </c>
      <c r="D105" t="s">
        <v>28</v>
      </c>
      <c r="E105" t="s">
        <v>446</v>
      </c>
      <c r="F105" t="s">
        <v>175</v>
      </c>
      <c r="H105">
        <v>50</v>
      </c>
      <c r="I105" s="7">
        <v>10</v>
      </c>
      <c r="J105" s="8"/>
      <c r="K105" s="7">
        <v>500</v>
      </c>
      <c r="L105" s="7"/>
    </row>
    <row r="106" spans="1:13">
      <c r="A106" t="s">
        <v>14</v>
      </c>
      <c r="B106" s="1">
        <v>45327</v>
      </c>
      <c r="C106" s="1">
        <v>45344</v>
      </c>
      <c r="D106" t="s">
        <v>15</v>
      </c>
      <c r="E106" t="s">
        <v>184</v>
      </c>
      <c r="F106" t="s">
        <v>182</v>
      </c>
      <c r="G106" t="s">
        <v>186</v>
      </c>
      <c r="H106">
        <v>69</v>
      </c>
      <c r="I106" s="7">
        <v>2.5</v>
      </c>
      <c r="J106" s="8"/>
      <c r="K106" s="7">
        <v>172.5</v>
      </c>
      <c r="L106" s="7"/>
    </row>
    <row r="107" spans="1:13">
      <c r="A107" t="s">
        <v>82</v>
      </c>
      <c r="B107" s="1"/>
      <c r="C107" s="1">
        <v>45357</v>
      </c>
      <c r="D107" s="11" t="s">
        <v>189</v>
      </c>
      <c r="E107" t="s">
        <v>157</v>
      </c>
      <c r="F107" t="s">
        <v>174</v>
      </c>
      <c r="G107" t="s">
        <v>183</v>
      </c>
      <c r="H107">
        <v>2</v>
      </c>
      <c r="I107" s="7">
        <v>205</v>
      </c>
      <c r="J107" s="8"/>
      <c r="K107" s="7">
        <v>410</v>
      </c>
      <c r="L107" s="7"/>
      <c r="M107" s="7"/>
    </row>
    <row r="108" spans="1:13">
      <c r="A108" t="s">
        <v>14</v>
      </c>
      <c r="B108" s="1"/>
      <c r="C108" s="1">
        <v>45357</v>
      </c>
      <c r="D108" t="s">
        <v>28</v>
      </c>
      <c r="E108" t="s">
        <v>157</v>
      </c>
      <c r="F108" t="s">
        <v>174</v>
      </c>
      <c r="H108">
        <v>6</v>
      </c>
      <c r="I108" s="7">
        <v>205</v>
      </c>
      <c r="J108" s="8"/>
      <c r="K108" s="7">
        <v>1230</v>
      </c>
      <c r="L108" s="7"/>
    </row>
    <row r="109" spans="1:13">
      <c r="A109" t="s">
        <v>14</v>
      </c>
      <c r="B109" s="1">
        <v>45342</v>
      </c>
      <c r="C109" s="1">
        <v>45362</v>
      </c>
      <c r="D109" t="s">
        <v>28</v>
      </c>
      <c r="E109" t="s">
        <v>68</v>
      </c>
      <c r="F109" t="s">
        <v>172</v>
      </c>
      <c r="G109" t="s">
        <v>186</v>
      </c>
      <c r="H109">
        <v>100</v>
      </c>
      <c r="I109" s="7">
        <v>1</v>
      </c>
      <c r="J109" s="8"/>
      <c r="K109" s="7">
        <v>100</v>
      </c>
      <c r="L109" s="7"/>
    </row>
    <row r="110" spans="1:13">
      <c r="A110" t="s">
        <v>14</v>
      </c>
      <c r="B110" s="1"/>
      <c r="C110" s="1">
        <v>45464</v>
      </c>
      <c r="D110" t="s">
        <v>28</v>
      </c>
      <c r="E110" t="s">
        <v>44</v>
      </c>
      <c r="F110" t="s">
        <v>527</v>
      </c>
      <c r="H110">
        <v>55</v>
      </c>
      <c r="I110" s="7">
        <v>1.75</v>
      </c>
      <c r="J110" s="8"/>
      <c r="K110" s="7">
        <v>96.25</v>
      </c>
      <c r="L110" s="7"/>
    </row>
    <row r="111" spans="1:13">
      <c r="A111" t="s">
        <v>14</v>
      </c>
      <c r="B111" s="1"/>
      <c r="C111" s="1">
        <v>45468</v>
      </c>
      <c r="D111" t="s">
        <v>28</v>
      </c>
      <c r="E111" t="s">
        <v>145</v>
      </c>
      <c r="F111" t="s">
        <v>192</v>
      </c>
      <c r="H111">
        <v>50</v>
      </c>
      <c r="I111" s="7">
        <v>6</v>
      </c>
      <c r="J111" s="8"/>
      <c r="K111" s="7">
        <v>300</v>
      </c>
      <c r="L111" s="7"/>
    </row>
    <row r="112" spans="1:13">
      <c r="A112" t="s">
        <v>14</v>
      </c>
      <c r="C112" s="1">
        <v>45470</v>
      </c>
      <c r="D112" t="s">
        <v>28</v>
      </c>
      <c r="E112" t="s">
        <v>38</v>
      </c>
      <c r="F112" t="s">
        <v>171</v>
      </c>
      <c r="H112">
        <v>184</v>
      </c>
      <c r="I112" s="7"/>
      <c r="J112" s="8"/>
      <c r="K112" s="7">
        <v>460</v>
      </c>
      <c r="L112" s="7"/>
    </row>
    <row r="113" spans="1:14">
      <c r="A113" t="s">
        <v>14</v>
      </c>
      <c r="B113" s="1"/>
      <c r="C113" s="1">
        <v>45474</v>
      </c>
      <c r="D113" t="s">
        <v>28</v>
      </c>
      <c r="E113" t="s">
        <v>50</v>
      </c>
      <c r="F113" t="s">
        <v>173</v>
      </c>
      <c r="H113">
        <v>126</v>
      </c>
      <c r="I113" s="7">
        <v>28</v>
      </c>
      <c r="J113" s="8"/>
      <c r="K113" s="7">
        <v>3528</v>
      </c>
      <c r="L113" s="7"/>
    </row>
    <row r="114" spans="1:14">
      <c r="A114" t="s">
        <v>14</v>
      </c>
      <c r="B114" s="1"/>
      <c r="C114" s="1">
        <v>45482</v>
      </c>
      <c r="D114" t="s">
        <v>28</v>
      </c>
      <c r="E114" t="s">
        <v>53</v>
      </c>
      <c r="F114" t="s">
        <v>170</v>
      </c>
      <c r="H114">
        <v>43</v>
      </c>
      <c r="I114" s="7">
        <v>28</v>
      </c>
      <c r="J114" s="8"/>
      <c r="K114" s="7">
        <v>1204</v>
      </c>
      <c r="L114" s="7"/>
    </row>
    <row r="115" spans="1:14">
      <c r="A115" t="s">
        <v>14</v>
      </c>
      <c r="B115" s="1">
        <v>45450</v>
      </c>
      <c r="C115" s="1">
        <v>45484</v>
      </c>
      <c r="D115" t="s">
        <v>15</v>
      </c>
      <c r="E115" t="s">
        <v>21</v>
      </c>
      <c r="F115" t="s">
        <v>180</v>
      </c>
      <c r="G115" t="s">
        <v>183</v>
      </c>
      <c r="H115">
        <v>200</v>
      </c>
      <c r="I115" s="7">
        <v>12</v>
      </c>
      <c r="J115" s="8"/>
      <c r="K115" s="7">
        <v>2400</v>
      </c>
      <c r="L115" s="7"/>
    </row>
    <row r="116" spans="1:14" ht="17">
      <c r="A116" t="s">
        <v>82</v>
      </c>
      <c r="B116" s="1">
        <v>45484</v>
      </c>
      <c r="C116" s="1">
        <v>45485</v>
      </c>
      <c r="D116" s="11" t="s">
        <v>15</v>
      </c>
      <c r="E116" s="10" t="s">
        <v>138</v>
      </c>
      <c r="F116" s="10" t="s">
        <v>139</v>
      </c>
      <c r="G116" s="10" t="s">
        <v>183</v>
      </c>
      <c r="H116" s="10">
        <v>60</v>
      </c>
      <c r="I116" s="7">
        <v>1</v>
      </c>
      <c r="J116" s="8"/>
      <c r="K116" s="7">
        <v>60</v>
      </c>
      <c r="L116" s="7"/>
      <c r="M116" s="7"/>
    </row>
    <row r="117" spans="1:14">
      <c r="A117" t="s">
        <v>14</v>
      </c>
      <c r="B117" s="1"/>
      <c r="C117" s="1">
        <v>45492</v>
      </c>
      <c r="D117" t="s">
        <v>28</v>
      </c>
      <c r="E117" t="s">
        <v>62</v>
      </c>
      <c r="F117" t="s">
        <v>29</v>
      </c>
      <c r="H117">
        <v>1000</v>
      </c>
      <c r="I117" s="7">
        <v>3.6</v>
      </c>
      <c r="J117" s="8"/>
      <c r="K117" s="7">
        <v>3600</v>
      </c>
      <c r="L117" s="7"/>
    </row>
    <row r="118" spans="1:14">
      <c r="A118" t="s">
        <v>14</v>
      </c>
      <c r="B118" s="1">
        <v>45439</v>
      </c>
      <c r="C118" s="1">
        <v>45513</v>
      </c>
      <c r="D118" t="s">
        <v>15</v>
      </c>
      <c r="E118" t="s">
        <v>184</v>
      </c>
      <c r="F118" t="s">
        <v>70</v>
      </c>
      <c r="G118" t="s">
        <v>187</v>
      </c>
      <c r="H118">
        <v>69</v>
      </c>
      <c r="I118" s="7">
        <v>3.25</v>
      </c>
      <c r="J118" s="8"/>
      <c r="K118" s="7">
        <v>224.25</v>
      </c>
      <c r="L118" s="7"/>
    </row>
    <row r="119" spans="1:14">
      <c r="A119" t="s">
        <v>14</v>
      </c>
      <c r="B119" s="1">
        <v>45421</v>
      </c>
      <c r="C119" s="1">
        <v>45516</v>
      </c>
      <c r="D119" t="s">
        <v>15</v>
      </c>
      <c r="E119" t="s">
        <v>19</v>
      </c>
      <c r="F119" t="s">
        <v>494</v>
      </c>
      <c r="G119" t="s">
        <v>183</v>
      </c>
      <c r="H119">
        <v>100</v>
      </c>
      <c r="I119" s="7">
        <v>19.5</v>
      </c>
      <c r="J119" s="8"/>
      <c r="K119" s="7">
        <v>1950</v>
      </c>
      <c r="L119" s="7"/>
    </row>
    <row r="120" spans="1:14">
      <c r="A120" t="s">
        <v>14</v>
      </c>
      <c r="B120" s="1"/>
      <c r="C120" s="1">
        <v>45517</v>
      </c>
      <c r="D120" t="s">
        <v>28</v>
      </c>
      <c r="E120" t="s">
        <v>157</v>
      </c>
      <c r="F120" t="s">
        <v>174</v>
      </c>
      <c r="H120">
        <v>6</v>
      </c>
      <c r="I120" s="7">
        <v>170</v>
      </c>
      <c r="J120" s="8"/>
      <c r="K120" s="7">
        <v>1020</v>
      </c>
      <c r="L120" s="7"/>
    </row>
    <row r="121" spans="1:14">
      <c r="A121" t="s">
        <v>82</v>
      </c>
      <c r="B121" s="1"/>
      <c r="C121" s="1">
        <v>45517</v>
      </c>
      <c r="D121" t="s">
        <v>189</v>
      </c>
      <c r="E121" t="s">
        <v>157</v>
      </c>
      <c r="F121" t="s">
        <v>174</v>
      </c>
      <c r="H121">
        <v>2</v>
      </c>
      <c r="I121" s="7">
        <v>170</v>
      </c>
      <c r="J121" s="8"/>
      <c r="K121" s="7">
        <v>340</v>
      </c>
      <c r="L121" s="7"/>
    </row>
    <row r="122" spans="1:14">
      <c r="A122" t="s">
        <v>14</v>
      </c>
      <c r="B122" s="1">
        <v>45515</v>
      </c>
      <c r="C122" s="1">
        <v>45537</v>
      </c>
      <c r="D122" t="s">
        <v>15</v>
      </c>
      <c r="E122" t="s">
        <v>16</v>
      </c>
      <c r="F122" t="s">
        <v>185</v>
      </c>
      <c r="G122" t="s">
        <v>183</v>
      </c>
      <c r="H122">
        <v>100</v>
      </c>
      <c r="I122" s="7">
        <v>10</v>
      </c>
      <c r="J122" s="8"/>
      <c r="K122" s="7">
        <v>1000</v>
      </c>
      <c r="L122" s="7"/>
    </row>
    <row r="123" spans="1:14">
      <c r="A123" t="s">
        <v>14</v>
      </c>
      <c r="C123" s="1">
        <v>45587</v>
      </c>
      <c r="D123" t="s">
        <v>28</v>
      </c>
      <c r="E123" t="s">
        <v>68</v>
      </c>
      <c r="F123" t="s">
        <v>172</v>
      </c>
      <c r="H123">
        <v>100</v>
      </c>
      <c r="I123" s="7">
        <v>1</v>
      </c>
      <c r="J123" s="8"/>
      <c r="K123" s="7">
        <v>100</v>
      </c>
      <c r="L123" s="7"/>
    </row>
    <row r="124" spans="1:14">
      <c r="A124" t="s">
        <v>14</v>
      </c>
      <c r="B124" s="1"/>
      <c r="C124" s="1">
        <v>45604</v>
      </c>
      <c r="D124" t="s">
        <v>28</v>
      </c>
      <c r="E124" t="s">
        <v>50</v>
      </c>
      <c r="F124" t="s">
        <v>173</v>
      </c>
      <c r="H124">
        <v>126</v>
      </c>
      <c r="I124" s="7">
        <v>21</v>
      </c>
      <c r="J124" s="8"/>
      <c r="K124" s="7">
        <v>2646</v>
      </c>
      <c r="L124" s="7"/>
      <c r="M124">
        <v>617.4</v>
      </c>
      <c r="N124">
        <v>2028.6</v>
      </c>
    </row>
    <row r="125" spans="1:14">
      <c r="A125" t="s">
        <v>14</v>
      </c>
      <c r="C125" s="1">
        <v>45624</v>
      </c>
      <c r="D125" t="s">
        <v>28</v>
      </c>
      <c r="E125" t="s">
        <v>63</v>
      </c>
      <c r="F125" t="s">
        <v>49</v>
      </c>
      <c r="H125">
        <v>100</v>
      </c>
      <c r="I125" s="7">
        <v>4</v>
      </c>
      <c r="J125" s="8"/>
      <c r="K125" s="7">
        <v>400</v>
      </c>
      <c r="L125" s="7"/>
    </row>
    <row r="126" spans="1:14" ht="17">
      <c r="A126" t="s">
        <v>82</v>
      </c>
      <c r="B126" s="1">
        <v>45694</v>
      </c>
      <c r="C126" s="1">
        <v>45703</v>
      </c>
      <c r="D126" s="11" t="s">
        <v>15</v>
      </c>
      <c r="E126" s="10" t="s">
        <v>141</v>
      </c>
      <c r="F126" s="10" t="s">
        <v>191</v>
      </c>
      <c r="G126" s="10" t="s">
        <v>186</v>
      </c>
      <c r="H126" s="10">
        <v>40</v>
      </c>
      <c r="I126" s="7">
        <v>6.5</v>
      </c>
      <c r="J126" s="8"/>
      <c r="K126" s="7">
        <v>260</v>
      </c>
      <c r="L126" s="7"/>
      <c r="M126" s="7"/>
    </row>
    <row r="127" spans="1:14">
      <c r="A127" t="s">
        <v>14</v>
      </c>
      <c r="B127" s="1">
        <v>45698</v>
      </c>
      <c r="C127" s="1">
        <v>45706</v>
      </c>
      <c r="D127" t="s">
        <v>15</v>
      </c>
      <c r="E127" t="s">
        <v>184</v>
      </c>
      <c r="F127" t="s">
        <v>70</v>
      </c>
      <c r="G127" t="s">
        <v>186</v>
      </c>
      <c r="H127">
        <v>69</v>
      </c>
      <c r="I127" s="7">
        <v>3.25</v>
      </c>
      <c r="J127" s="8"/>
      <c r="K127" s="7">
        <v>224.25</v>
      </c>
      <c r="L127" s="7"/>
    </row>
    <row r="128" spans="1:14">
      <c r="A128" t="s">
        <v>14</v>
      </c>
      <c r="C128" s="1">
        <v>45723</v>
      </c>
      <c r="D128" t="s">
        <v>28</v>
      </c>
      <c r="E128" t="s">
        <v>63</v>
      </c>
      <c r="F128" t="s">
        <v>49</v>
      </c>
      <c r="H128">
        <v>100</v>
      </c>
      <c r="I128" s="7">
        <v>3</v>
      </c>
      <c r="J128" s="8"/>
      <c r="K128" s="7">
        <v>300</v>
      </c>
      <c r="L128" s="7"/>
    </row>
    <row r="129" spans="1:13">
      <c r="A129" t="s">
        <v>82</v>
      </c>
      <c r="B129" s="1"/>
      <c r="C129" s="1">
        <v>45805</v>
      </c>
      <c r="D129" s="11" t="s">
        <v>189</v>
      </c>
      <c r="E129" t="s">
        <v>156</v>
      </c>
      <c r="F129" t="s">
        <v>190</v>
      </c>
      <c r="G129" t="s">
        <v>183</v>
      </c>
      <c r="H129">
        <v>50</v>
      </c>
      <c r="I129" s="7">
        <v>7.85</v>
      </c>
      <c r="J129" s="8"/>
      <c r="K129" s="7">
        <v>393</v>
      </c>
      <c r="L129" s="7"/>
    </row>
    <row r="130" spans="1:13">
      <c r="A130" t="s">
        <v>14</v>
      </c>
      <c r="C130" s="1">
        <v>45813</v>
      </c>
      <c r="D130" t="s">
        <v>28</v>
      </c>
      <c r="E130" t="s">
        <v>38</v>
      </c>
      <c r="F130" t="s">
        <v>171</v>
      </c>
      <c r="H130">
        <v>190</v>
      </c>
      <c r="I130" s="7"/>
      <c r="J130" s="8"/>
      <c r="K130" s="7">
        <v>552.5</v>
      </c>
      <c r="L130" s="7"/>
    </row>
    <row r="131" spans="1:13">
      <c r="A131" t="s">
        <v>14</v>
      </c>
      <c r="B131" s="1"/>
      <c r="C131" s="1">
        <v>45829</v>
      </c>
      <c r="D131" t="s">
        <v>28</v>
      </c>
      <c r="E131" t="s">
        <v>53</v>
      </c>
      <c r="F131" t="s">
        <v>170</v>
      </c>
      <c r="H131">
        <v>50</v>
      </c>
      <c r="I131" s="7">
        <v>34</v>
      </c>
      <c r="J131" s="8"/>
      <c r="K131" s="7">
        <v>1700</v>
      </c>
      <c r="L131" s="7"/>
    </row>
    <row r="132" spans="1:13" ht="17">
      <c r="A132" t="s">
        <v>82</v>
      </c>
      <c r="B132" s="1"/>
      <c r="C132" s="1">
        <v>45831</v>
      </c>
      <c r="D132" s="11" t="s">
        <v>15</v>
      </c>
      <c r="E132" t="s">
        <v>145</v>
      </c>
      <c r="F132" s="10" t="s">
        <v>192</v>
      </c>
      <c r="G132" s="10" t="s">
        <v>183</v>
      </c>
      <c r="H132" s="10">
        <v>80</v>
      </c>
      <c r="I132" s="7">
        <v>6</v>
      </c>
      <c r="J132" s="8"/>
      <c r="K132" s="7">
        <v>480</v>
      </c>
      <c r="L132" s="7"/>
      <c r="M132" s="7"/>
    </row>
    <row r="133" spans="1:13">
      <c r="A133" t="s">
        <v>14</v>
      </c>
      <c r="B133" s="1"/>
      <c r="C133" s="1">
        <v>45831</v>
      </c>
      <c r="D133" t="s">
        <v>28</v>
      </c>
      <c r="E133" t="s">
        <v>145</v>
      </c>
      <c r="F133" t="s">
        <v>192</v>
      </c>
      <c r="H133">
        <v>50</v>
      </c>
      <c r="I133" s="7">
        <v>6</v>
      </c>
      <c r="J133" s="8"/>
      <c r="K133" s="7">
        <v>300</v>
      </c>
      <c r="L133" s="7"/>
    </row>
    <row r="134" spans="1:13">
      <c r="A134" t="s">
        <v>82</v>
      </c>
      <c r="B134" s="1"/>
      <c r="C134" s="1">
        <v>45835</v>
      </c>
      <c r="D134" t="s">
        <v>189</v>
      </c>
      <c r="E134" t="s">
        <v>19</v>
      </c>
      <c r="F134" t="s">
        <v>494</v>
      </c>
      <c r="G134" t="s">
        <v>186</v>
      </c>
      <c r="H134">
        <v>10</v>
      </c>
      <c r="I134" s="7">
        <v>22</v>
      </c>
      <c r="J134" s="8"/>
      <c r="K134" s="7">
        <v>220</v>
      </c>
      <c r="L134" s="7"/>
    </row>
    <row r="135" spans="1:13">
      <c r="A135" t="s">
        <v>14</v>
      </c>
      <c r="B135" s="1"/>
      <c r="C135" s="1">
        <v>45838</v>
      </c>
      <c r="D135" t="s">
        <v>28</v>
      </c>
      <c r="E135" t="s">
        <v>50</v>
      </c>
      <c r="F135" t="s">
        <v>173</v>
      </c>
      <c r="H135">
        <v>130</v>
      </c>
      <c r="I135" s="7">
        <v>22</v>
      </c>
      <c r="J135" s="8"/>
      <c r="K135" s="7">
        <v>2860</v>
      </c>
      <c r="L135" s="7"/>
    </row>
    <row r="136" spans="1:13">
      <c r="A136" t="s">
        <v>14</v>
      </c>
      <c r="B136" s="1"/>
      <c r="C136" s="1">
        <v>45842</v>
      </c>
      <c r="D136" t="s">
        <v>28</v>
      </c>
      <c r="E136" t="s">
        <v>62</v>
      </c>
      <c r="F136" t="s">
        <v>29</v>
      </c>
      <c r="H136">
        <v>1000</v>
      </c>
      <c r="I136" s="7">
        <v>3.6</v>
      </c>
      <c r="J136" s="8"/>
      <c r="K136" s="7">
        <v>3600</v>
      </c>
      <c r="L136" s="7"/>
    </row>
    <row r="137" spans="1:13">
      <c r="A137" t="s">
        <v>14</v>
      </c>
      <c r="B137" s="1"/>
      <c r="C137" s="1">
        <v>45848</v>
      </c>
      <c r="D137" t="s">
        <v>15</v>
      </c>
      <c r="E137" t="s">
        <v>21</v>
      </c>
      <c r="F137" t="s">
        <v>180</v>
      </c>
      <c r="H137">
        <v>200</v>
      </c>
      <c r="I137" s="7">
        <v>16.25</v>
      </c>
      <c r="J137" s="8"/>
      <c r="K137" s="7">
        <v>3250</v>
      </c>
      <c r="L137" s="7"/>
    </row>
    <row r="138" spans="1:13">
      <c r="A138" t="s">
        <v>14</v>
      </c>
      <c r="B138" s="1"/>
      <c r="C138" s="1">
        <v>45849</v>
      </c>
      <c r="D138" t="s">
        <v>28</v>
      </c>
      <c r="E138" t="s">
        <v>44</v>
      </c>
      <c r="F138" t="s">
        <v>527</v>
      </c>
      <c r="H138">
        <v>60</v>
      </c>
      <c r="I138" s="7">
        <v>2.25</v>
      </c>
      <c r="J138" s="8"/>
      <c r="K138" s="7">
        <v>135</v>
      </c>
      <c r="L138" s="7"/>
    </row>
    <row r="139" spans="1:13">
      <c r="A139" t="s">
        <v>14</v>
      </c>
      <c r="B139" s="1"/>
      <c r="C139" s="1">
        <v>45849</v>
      </c>
      <c r="D139" t="s">
        <v>28</v>
      </c>
      <c r="E139" s="29" t="s">
        <v>51</v>
      </c>
      <c r="F139" t="s">
        <v>181</v>
      </c>
      <c r="H139">
        <v>600</v>
      </c>
      <c r="I139" s="7">
        <v>1.5</v>
      </c>
      <c r="J139" s="8"/>
      <c r="K139" s="7">
        <v>900</v>
      </c>
      <c r="L139" s="7"/>
    </row>
    <row r="140" spans="1:13">
      <c r="A140" t="s">
        <v>82</v>
      </c>
      <c r="B140" s="1"/>
      <c r="C140" s="1">
        <v>45863</v>
      </c>
      <c r="D140" t="s">
        <v>189</v>
      </c>
      <c r="E140" t="s">
        <v>19</v>
      </c>
      <c r="F140" t="s">
        <v>494</v>
      </c>
      <c r="G140" t="s">
        <v>186</v>
      </c>
      <c r="H140">
        <v>10</v>
      </c>
      <c r="I140" s="7">
        <v>5</v>
      </c>
      <c r="J140" s="8"/>
      <c r="K140" s="7">
        <v>50</v>
      </c>
      <c r="L140" s="7"/>
    </row>
    <row r="141" spans="1:13" ht="17">
      <c r="A141" t="s">
        <v>82</v>
      </c>
      <c r="B141" s="1"/>
      <c r="C141" s="1">
        <v>45866</v>
      </c>
      <c r="D141" t="s">
        <v>15</v>
      </c>
      <c r="E141" s="10" t="s">
        <v>138</v>
      </c>
      <c r="F141" s="10" t="s">
        <v>139</v>
      </c>
      <c r="G141" s="10" t="s">
        <v>183</v>
      </c>
      <c r="H141" s="10">
        <v>60</v>
      </c>
      <c r="I141" s="7">
        <v>1</v>
      </c>
      <c r="J141" s="8"/>
      <c r="K141" s="7">
        <v>60</v>
      </c>
      <c r="L141" s="7"/>
    </row>
    <row r="142" spans="1:13">
      <c r="A142" t="s">
        <v>82</v>
      </c>
      <c r="B142" s="1"/>
      <c r="C142" s="1">
        <v>45874</v>
      </c>
      <c r="D142" t="s">
        <v>15</v>
      </c>
      <c r="E142" t="s">
        <v>136</v>
      </c>
      <c r="F142" t="s">
        <v>193</v>
      </c>
      <c r="G142" t="s">
        <v>183</v>
      </c>
      <c r="H142">
        <v>1500</v>
      </c>
      <c r="I142" s="7">
        <v>0.25</v>
      </c>
      <c r="J142" s="8"/>
      <c r="K142" s="7">
        <v>375</v>
      </c>
      <c r="L142" s="7"/>
    </row>
    <row r="143" spans="1:13">
      <c r="A143" t="s">
        <v>14</v>
      </c>
      <c r="B143" s="1"/>
      <c r="C143" s="1">
        <v>45887</v>
      </c>
      <c r="D143" t="s">
        <v>28</v>
      </c>
      <c r="E143" t="s">
        <v>157</v>
      </c>
      <c r="F143" t="s">
        <v>174</v>
      </c>
      <c r="H143">
        <v>6</v>
      </c>
      <c r="I143" s="7">
        <v>512</v>
      </c>
      <c r="J143" s="8"/>
      <c r="K143" s="7">
        <v>3072</v>
      </c>
      <c r="L143" s="7"/>
    </row>
    <row r="144" spans="1:13">
      <c r="A144" t="s">
        <v>82</v>
      </c>
      <c r="C144" s="1">
        <v>45887</v>
      </c>
      <c r="D144" t="s">
        <v>189</v>
      </c>
      <c r="E144" t="s">
        <v>157</v>
      </c>
      <c r="F144" t="s">
        <v>174</v>
      </c>
      <c r="H144">
        <v>2</v>
      </c>
      <c r="I144" s="7">
        <v>512</v>
      </c>
      <c r="J144" s="8"/>
      <c r="K144" s="7">
        <v>1024</v>
      </c>
      <c r="L144" s="7"/>
    </row>
    <row r="145" spans="1:12">
      <c r="A145" t="s">
        <v>14</v>
      </c>
      <c r="B145" s="1">
        <v>45895</v>
      </c>
      <c r="C145" s="1">
        <v>45895</v>
      </c>
      <c r="D145" t="s">
        <v>15</v>
      </c>
      <c r="E145" t="s">
        <v>19</v>
      </c>
      <c r="F145" t="s">
        <v>494</v>
      </c>
      <c r="G145" t="s">
        <v>58</v>
      </c>
      <c r="H145">
        <v>100</v>
      </c>
      <c r="I145" s="7"/>
      <c r="J145" s="8" t="s">
        <v>188</v>
      </c>
      <c r="K145" s="7"/>
      <c r="L145">
        <v>100</v>
      </c>
    </row>
    <row r="146" spans="1:12">
      <c r="A146" t="s">
        <v>82</v>
      </c>
      <c r="B146" s="1"/>
      <c r="C146" s="1">
        <v>45895</v>
      </c>
      <c r="D146" t="s">
        <v>189</v>
      </c>
      <c r="E146" t="s">
        <v>19</v>
      </c>
      <c r="F146" t="s">
        <v>494</v>
      </c>
      <c r="G146" t="s">
        <v>58</v>
      </c>
      <c r="H146">
        <v>10</v>
      </c>
      <c r="I146" s="7"/>
      <c r="J146" s="8" t="s">
        <v>188</v>
      </c>
      <c r="K146" s="7"/>
      <c r="L146" s="7">
        <v>10</v>
      </c>
    </row>
    <row r="147" spans="1:12">
      <c r="A147" t="s">
        <v>14</v>
      </c>
      <c r="B147" s="1">
        <v>45880</v>
      </c>
      <c r="C147" s="1">
        <v>45903</v>
      </c>
      <c r="D147" t="s">
        <v>15</v>
      </c>
      <c r="E147" t="s">
        <v>16</v>
      </c>
      <c r="F147" t="s">
        <v>185</v>
      </c>
      <c r="G147" t="s">
        <v>183</v>
      </c>
      <c r="H147">
        <v>100</v>
      </c>
      <c r="I147">
        <v>11</v>
      </c>
      <c r="J147" s="8"/>
      <c r="K147" s="7">
        <v>1100</v>
      </c>
      <c r="L147" s="7"/>
    </row>
    <row r="148" spans="1:12">
      <c r="A148" t="s">
        <v>14</v>
      </c>
      <c r="C148" s="1">
        <v>45923</v>
      </c>
      <c r="D148" t="s">
        <v>28</v>
      </c>
      <c r="E148" t="s">
        <v>63</v>
      </c>
      <c r="F148" t="s">
        <v>49</v>
      </c>
      <c r="H148">
        <v>100</v>
      </c>
      <c r="I148" s="7">
        <v>1</v>
      </c>
      <c r="J148" s="8"/>
      <c r="K148" s="7">
        <v>100</v>
      </c>
      <c r="L148" s="7"/>
    </row>
    <row r="149" spans="1:12">
      <c r="A149" t="s">
        <v>14</v>
      </c>
      <c r="C149" s="1">
        <v>45943</v>
      </c>
      <c r="D149" t="s">
        <v>28</v>
      </c>
      <c r="E149" t="s">
        <v>68</v>
      </c>
      <c r="F149" t="s">
        <v>172</v>
      </c>
      <c r="H149">
        <v>100</v>
      </c>
      <c r="I149" s="7">
        <v>1.6</v>
      </c>
      <c r="J149" s="8"/>
      <c r="K149" s="7">
        <v>160</v>
      </c>
      <c r="L149" s="7"/>
    </row>
    <row r="150" spans="1:12">
      <c r="A150" t="s">
        <v>14</v>
      </c>
      <c r="B150" s="1"/>
      <c r="C150" s="1">
        <v>45968</v>
      </c>
      <c r="D150" t="s">
        <v>28</v>
      </c>
      <c r="E150" t="s">
        <v>50</v>
      </c>
      <c r="F150" t="s">
        <v>173</v>
      </c>
      <c r="H150">
        <v>130</v>
      </c>
      <c r="I150" s="7">
        <v>23</v>
      </c>
      <c r="J150" s="8"/>
      <c r="K150" s="7">
        <v>2990</v>
      </c>
      <c r="L150" s="7"/>
    </row>
    <row r="151" spans="1:12">
      <c r="A151" t="s">
        <v>14</v>
      </c>
      <c r="C151" s="1">
        <v>45996</v>
      </c>
      <c r="D151" t="s">
        <v>28</v>
      </c>
      <c r="E151" t="s">
        <v>63</v>
      </c>
      <c r="F151" t="s">
        <v>49</v>
      </c>
      <c r="H151">
        <v>100</v>
      </c>
      <c r="I151" s="7">
        <v>5</v>
      </c>
      <c r="J151" s="8"/>
      <c r="K151" s="7">
        <v>500</v>
      </c>
      <c r="L151" s="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8DF6-01B1-FC42-B0D8-C9E9ABB124B9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D1BC-2804-2F4B-A84D-0FDC669319C7}">
  <dimension ref="A1:S273"/>
  <sheetViews>
    <sheetView topLeftCell="A69" workbookViewId="0">
      <selection activeCell="F94" sqref="F94"/>
    </sheetView>
  </sheetViews>
  <sheetFormatPr baseColWidth="10" defaultRowHeight="16"/>
  <cols>
    <col min="1" max="1" width="22.83203125" bestFit="1" customWidth="1"/>
    <col min="3" max="3" width="13.33203125" bestFit="1" customWidth="1"/>
    <col min="4" max="4" width="15.1640625" customWidth="1"/>
    <col min="5" max="5" width="17" customWidth="1"/>
    <col min="6" max="6" width="50" bestFit="1" customWidth="1"/>
    <col min="7" max="7" width="51.1640625" bestFit="1" customWidth="1"/>
    <col min="8" max="8" width="15.1640625" customWidth="1"/>
    <col min="9" max="9" width="18.1640625" customWidth="1"/>
    <col min="10" max="10" width="20.83203125" customWidth="1"/>
    <col min="11" max="11" width="18" customWidth="1"/>
    <col min="13" max="13" width="27.5" customWidth="1"/>
    <col min="14" max="14" width="10.33203125" customWidth="1"/>
    <col min="16" max="16" width="11.6640625" customWidth="1"/>
  </cols>
  <sheetData>
    <row r="1" spans="1:19">
      <c r="A1" t="s">
        <v>0</v>
      </c>
      <c r="B1" t="s">
        <v>1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</row>
    <row r="2" spans="1:19">
      <c r="A2" t="s">
        <v>14</v>
      </c>
      <c r="B2" t="s">
        <v>15</v>
      </c>
      <c r="C2" s="1">
        <v>43771</v>
      </c>
      <c r="D2">
        <v>82572277</v>
      </c>
      <c r="E2" t="s">
        <v>99</v>
      </c>
      <c r="F2" t="s">
        <v>100</v>
      </c>
      <c r="G2" t="s">
        <v>101</v>
      </c>
      <c r="H2" s="25">
        <v>1039297412</v>
      </c>
      <c r="I2">
        <v>152.47</v>
      </c>
      <c r="J2" s="1">
        <v>43773</v>
      </c>
      <c r="K2" t="s">
        <v>102</v>
      </c>
      <c r="L2">
        <v>4500</v>
      </c>
      <c r="M2">
        <v>0</v>
      </c>
      <c r="N2">
        <v>29.513999999999999</v>
      </c>
      <c r="O2" t="s">
        <v>103</v>
      </c>
      <c r="P2" t="s">
        <v>104</v>
      </c>
      <c r="Q2" t="s">
        <v>105</v>
      </c>
    </row>
    <row r="3" spans="1:19">
      <c r="A3" t="s">
        <v>14</v>
      </c>
      <c r="B3" t="s">
        <v>15</v>
      </c>
      <c r="C3" s="1">
        <v>43916</v>
      </c>
      <c r="D3">
        <v>87979374</v>
      </c>
      <c r="E3" t="s">
        <v>99</v>
      </c>
      <c r="F3" t="s">
        <v>106</v>
      </c>
      <c r="G3" t="s">
        <v>107</v>
      </c>
      <c r="H3" s="25" t="s">
        <v>108</v>
      </c>
      <c r="I3">
        <v>18.707000000000001</v>
      </c>
      <c r="J3" s="1">
        <v>43917</v>
      </c>
      <c r="K3" t="s">
        <v>109</v>
      </c>
      <c r="L3">
        <v>5000</v>
      </c>
      <c r="M3">
        <v>0</v>
      </c>
      <c r="N3">
        <v>267.27999999999997</v>
      </c>
      <c r="O3" t="s">
        <v>103</v>
      </c>
      <c r="Q3" t="s">
        <v>105</v>
      </c>
    </row>
    <row r="4" spans="1:19">
      <c r="A4" t="s">
        <v>14</v>
      </c>
      <c r="B4" t="s">
        <v>15</v>
      </c>
      <c r="C4" s="1">
        <v>43917</v>
      </c>
      <c r="D4">
        <v>87993474</v>
      </c>
      <c r="E4" t="s">
        <v>99</v>
      </c>
      <c r="F4" t="s">
        <v>110</v>
      </c>
      <c r="G4" t="s">
        <v>111</v>
      </c>
      <c r="H4" s="25" t="s">
        <v>112</v>
      </c>
      <c r="I4">
        <v>64.34</v>
      </c>
      <c r="J4" s="1">
        <v>43917</v>
      </c>
      <c r="K4" t="s">
        <v>102</v>
      </c>
      <c r="L4">
        <v>5000</v>
      </c>
      <c r="M4">
        <v>0</v>
      </c>
      <c r="N4">
        <v>77.712000000000003</v>
      </c>
      <c r="O4" t="s">
        <v>103</v>
      </c>
      <c r="Q4" t="s">
        <v>105</v>
      </c>
    </row>
    <row r="5" spans="1:19">
      <c r="A5" t="s">
        <v>14</v>
      </c>
      <c r="B5" t="s">
        <v>15</v>
      </c>
      <c r="C5" s="1">
        <v>43949</v>
      </c>
      <c r="D5">
        <v>89034197</v>
      </c>
      <c r="E5" t="s">
        <v>92</v>
      </c>
      <c r="F5" t="s">
        <v>106</v>
      </c>
      <c r="G5" t="s">
        <v>107</v>
      </c>
      <c r="H5" s="25" t="s">
        <v>108</v>
      </c>
      <c r="I5">
        <v>19.803000000000001</v>
      </c>
      <c r="J5" s="1">
        <v>43949</v>
      </c>
      <c r="K5" t="s">
        <v>109</v>
      </c>
      <c r="L5">
        <v>55.47</v>
      </c>
      <c r="M5">
        <v>0</v>
      </c>
      <c r="N5">
        <v>2.8010000000000002</v>
      </c>
      <c r="O5" t="s">
        <v>103</v>
      </c>
      <c r="Q5" t="s">
        <v>113</v>
      </c>
    </row>
    <row r="6" spans="1:19">
      <c r="A6" t="s">
        <v>14</v>
      </c>
      <c r="B6" t="s">
        <v>15</v>
      </c>
      <c r="C6" s="1">
        <v>43949</v>
      </c>
      <c r="D6">
        <v>89024044</v>
      </c>
      <c r="E6" t="s">
        <v>99</v>
      </c>
      <c r="F6" t="s">
        <v>110</v>
      </c>
      <c r="G6" t="s">
        <v>111</v>
      </c>
      <c r="H6" s="25" t="s">
        <v>112</v>
      </c>
      <c r="I6">
        <v>69.75</v>
      </c>
      <c r="J6" s="1">
        <v>43949</v>
      </c>
      <c r="K6" t="s">
        <v>102</v>
      </c>
      <c r="L6">
        <v>20000</v>
      </c>
      <c r="M6">
        <v>0</v>
      </c>
      <c r="N6">
        <v>286.738</v>
      </c>
      <c r="O6" t="s">
        <v>103</v>
      </c>
      <c r="Q6" t="s">
        <v>105</v>
      </c>
    </row>
    <row r="7" spans="1:19">
      <c r="A7" t="s">
        <v>14</v>
      </c>
      <c r="B7" t="s">
        <v>15</v>
      </c>
      <c r="C7" s="1">
        <v>43949</v>
      </c>
      <c r="D7">
        <v>89024065</v>
      </c>
      <c r="E7" t="s">
        <v>99</v>
      </c>
      <c r="F7" t="s">
        <v>106</v>
      </c>
      <c r="G7" t="s">
        <v>107</v>
      </c>
      <c r="H7" s="25" t="s">
        <v>108</v>
      </c>
      <c r="I7">
        <v>19.82</v>
      </c>
      <c r="J7" s="1">
        <v>43949</v>
      </c>
      <c r="K7" t="s">
        <v>109</v>
      </c>
      <c r="L7">
        <v>20000</v>
      </c>
      <c r="M7">
        <v>0</v>
      </c>
      <c r="N7">
        <v>1009.082</v>
      </c>
      <c r="O7" t="s">
        <v>103</v>
      </c>
      <c r="Q7" t="s">
        <v>105</v>
      </c>
    </row>
    <row r="8" spans="1:19">
      <c r="A8" t="s">
        <v>14</v>
      </c>
      <c r="B8" t="s">
        <v>15</v>
      </c>
      <c r="C8" s="1">
        <v>43952</v>
      </c>
      <c r="D8">
        <v>89163576</v>
      </c>
      <c r="E8" t="s">
        <v>99</v>
      </c>
      <c r="F8" t="s">
        <v>114</v>
      </c>
      <c r="G8" t="s">
        <v>115</v>
      </c>
      <c r="H8" s="25" t="s">
        <v>116</v>
      </c>
      <c r="I8">
        <v>107.92</v>
      </c>
      <c r="J8" s="1">
        <v>43955</v>
      </c>
      <c r="K8" t="s">
        <v>102</v>
      </c>
      <c r="L8">
        <v>30000</v>
      </c>
      <c r="M8">
        <v>0</v>
      </c>
      <c r="N8">
        <v>277.98399999999998</v>
      </c>
      <c r="O8" t="s">
        <v>103</v>
      </c>
      <c r="Q8" t="s">
        <v>105</v>
      </c>
    </row>
    <row r="9" spans="1:19">
      <c r="A9" t="s">
        <v>14</v>
      </c>
      <c r="B9" t="s">
        <v>15</v>
      </c>
      <c r="C9" s="1">
        <v>43978</v>
      </c>
      <c r="D9">
        <v>89984464</v>
      </c>
      <c r="E9" t="s">
        <v>92</v>
      </c>
      <c r="F9" t="s">
        <v>106</v>
      </c>
      <c r="G9" t="s">
        <v>107</v>
      </c>
      <c r="H9" s="25" t="s">
        <v>108</v>
      </c>
      <c r="I9">
        <v>18.888000000000002</v>
      </c>
      <c r="J9" s="1">
        <v>43978</v>
      </c>
      <c r="K9" t="s">
        <v>109</v>
      </c>
      <c r="L9">
        <v>294.20999999999998</v>
      </c>
      <c r="M9">
        <v>0</v>
      </c>
      <c r="N9">
        <v>15.577</v>
      </c>
      <c r="O9" t="s">
        <v>103</v>
      </c>
      <c r="Q9" t="s">
        <v>113</v>
      </c>
      <c r="R9" t="s">
        <v>420</v>
      </c>
      <c r="S9" t="s">
        <v>420</v>
      </c>
    </row>
    <row r="10" spans="1:19">
      <c r="A10" t="s">
        <v>14</v>
      </c>
      <c r="B10" t="s">
        <v>15</v>
      </c>
      <c r="C10" s="1">
        <v>44005</v>
      </c>
      <c r="D10">
        <v>90833658</v>
      </c>
      <c r="E10" t="s">
        <v>99</v>
      </c>
      <c r="F10" t="s">
        <v>117</v>
      </c>
      <c r="G10" t="s">
        <v>118</v>
      </c>
      <c r="H10" s="25">
        <v>91087813195</v>
      </c>
      <c r="I10">
        <v>38.01</v>
      </c>
      <c r="J10" s="1">
        <v>44005</v>
      </c>
      <c r="K10" t="s">
        <v>102</v>
      </c>
      <c r="L10">
        <v>40000</v>
      </c>
      <c r="M10">
        <v>0</v>
      </c>
      <c r="N10">
        <v>1052.355</v>
      </c>
      <c r="O10" t="s">
        <v>103</v>
      </c>
      <c r="Q10" t="s">
        <v>105</v>
      </c>
    </row>
    <row r="11" spans="1:19">
      <c r="A11" t="s">
        <v>14</v>
      </c>
      <c r="B11" t="s">
        <v>15</v>
      </c>
      <c r="C11" s="1">
        <v>44006</v>
      </c>
      <c r="D11">
        <v>90837474</v>
      </c>
      <c r="E11" t="s">
        <v>119</v>
      </c>
      <c r="F11" t="s">
        <v>110</v>
      </c>
      <c r="G11" t="s">
        <v>120</v>
      </c>
      <c r="H11" s="25" t="s">
        <v>112</v>
      </c>
      <c r="I11">
        <v>16.790600000000001</v>
      </c>
      <c r="J11" s="1">
        <v>44006</v>
      </c>
      <c r="K11" t="s">
        <v>102</v>
      </c>
      <c r="L11">
        <v>5000</v>
      </c>
      <c r="M11">
        <v>0</v>
      </c>
      <c r="N11">
        <v>297.786</v>
      </c>
      <c r="O11" t="s">
        <v>103</v>
      </c>
      <c r="Q11" t="s">
        <v>113</v>
      </c>
    </row>
    <row r="12" spans="1:19">
      <c r="A12" t="s">
        <v>14</v>
      </c>
      <c r="B12" t="s">
        <v>15</v>
      </c>
      <c r="C12" s="1">
        <v>44008</v>
      </c>
      <c r="D12">
        <v>90992226</v>
      </c>
      <c r="E12" t="s">
        <v>92</v>
      </c>
      <c r="F12" t="s">
        <v>106</v>
      </c>
      <c r="G12" t="s">
        <v>107</v>
      </c>
      <c r="H12" s="25" t="s">
        <v>108</v>
      </c>
      <c r="I12">
        <v>21.050999999999998</v>
      </c>
      <c r="J12" s="1">
        <v>44008</v>
      </c>
      <c r="K12" t="s">
        <v>109</v>
      </c>
      <c r="L12">
        <v>297.79000000000002</v>
      </c>
      <c r="M12">
        <v>0</v>
      </c>
      <c r="N12">
        <v>14.146000000000001</v>
      </c>
      <c r="O12" t="s">
        <v>103</v>
      </c>
      <c r="Q12" t="s">
        <v>113</v>
      </c>
      <c r="S12" t="s">
        <v>420</v>
      </c>
    </row>
    <row r="13" spans="1:19">
      <c r="A13" t="s">
        <v>14</v>
      </c>
      <c r="B13" t="s">
        <v>15</v>
      </c>
      <c r="C13" s="1">
        <v>44010</v>
      </c>
      <c r="D13">
        <v>90987394</v>
      </c>
      <c r="E13" t="s">
        <v>119</v>
      </c>
      <c r="F13" t="s">
        <v>106</v>
      </c>
      <c r="G13" t="s">
        <v>107</v>
      </c>
      <c r="H13" s="25" t="s">
        <v>108</v>
      </c>
      <c r="I13">
        <v>20.843</v>
      </c>
      <c r="J13" s="1">
        <v>44011</v>
      </c>
      <c r="K13" t="s">
        <v>109</v>
      </c>
      <c r="L13">
        <v>5000</v>
      </c>
      <c r="M13">
        <v>0</v>
      </c>
      <c r="N13">
        <v>239.88900000000001</v>
      </c>
      <c r="O13" t="s">
        <v>103</v>
      </c>
      <c r="Q13" t="s">
        <v>113</v>
      </c>
    </row>
    <row r="14" spans="1:19">
      <c r="A14" t="s">
        <v>14</v>
      </c>
      <c r="B14" t="s">
        <v>15</v>
      </c>
      <c r="C14" s="1">
        <v>44012</v>
      </c>
      <c r="D14">
        <v>91035580</v>
      </c>
      <c r="E14" t="s">
        <v>99</v>
      </c>
      <c r="F14" t="s">
        <v>110</v>
      </c>
      <c r="G14" t="s">
        <v>111</v>
      </c>
      <c r="H14" s="25" t="s">
        <v>112</v>
      </c>
      <c r="I14">
        <v>78.47</v>
      </c>
      <c r="J14" s="1">
        <v>44012</v>
      </c>
      <c r="K14" t="s">
        <v>102</v>
      </c>
      <c r="L14">
        <v>0</v>
      </c>
      <c r="M14">
        <v>0</v>
      </c>
      <c r="N14">
        <v>318.59300000000002</v>
      </c>
      <c r="O14" t="s">
        <v>103</v>
      </c>
      <c r="Q14" t="s">
        <v>105</v>
      </c>
    </row>
    <row r="15" spans="1:19">
      <c r="A15" t="s">
        <v>14</v>
      </c>
      <c r="B15" t="s">
        <v>15</v>
      </c>
      <c r="C15" s="1">
        <v>44015</v>
      </c>
      <c r="D15">
        <v>91289318</v>
      </c>
      <c r="E15" t="s">
        <v>92</v>
      </c>
      <c r="F15" t="s">
        <v>110</v>
      </c>
      <c r="G15" t="s">
        <v>120</v>
      </c>
      <c r="H15" s="25" t="s">
        <v>112</v>
      </c>
      <c r="I15">
        <v>16.8552</v>
      </c>
      <c r="J15" s="1">
        <v>44015</v>
      </c>
      <c r="K15" t="s">
        <v>102</v>
      </c>
      <c r="L15">
        <v>47.65</v>
      </c>
      <c r="M15">
        <v>0</v>
      </c>
      <c r="N15">
        <v>2.827</v>
      </c>
      <c r="O15" t="s">
        <v>103</v>
      </c>
      <c r="Q15" t="s">
        <v>113</v>
      </c>
      <c r="S15" t="s">
        <v>420</v>
      </c>
    </row>
    <row r="16" spans="1:19">
      <c r="A16" t="s">
        <v>14</v>
      </c>
      <c r="B16" t="s">
        <v>15</v>
      </c>
      <c r="C16" s="1">
        <v>44036</v>
      </c>
      <c r="D16">
        <v>91940347</v>
      </c>
      <c r="E16" t="s">
        <v>119</v>
      </c>
      <c r="F16" t="s">
        <v>110</v>
      </c>
      <c r="G16" t="s">
        <v>120</v>
      </c>
      <c r="H16" s="25" t="s">
        <v>112</v>
      </c>
      <c r="I16">
        <v>17.2364</v>
      </c>
      <c r="J16" s="1">
        <v>44036</v>
      </c>
      <c r="K16" t="s">
        <v>102</v>
      </c>
      <c r="L16">
        <v>5000</v>
      </c>
      <c r="M16">
        <v>0</v>
      </c>
      <c r="N16">
        <v>290.06900000000002</v>
      </c>
      <c r="O16" t="s">
        <v>103</v>
      </c>
      <c r="Q16" t="s">
        <v>113</v>
      </c>
    </row>
    <row r="17" spans="1:17">
      <c r="A17" t="s">
        <v>14</v>
      </c>
      <c r="B17" t="s">
        <v>15</v>
      </c>
      <c r="C17" s="1">
        <v>44040</v>
      </c>
      <c r="D17">
        <v>92063258</v>
      </c>
      <c r="E17" t="s">
        <v>119</v>
      </c>
      <c r="F17" t="s">
        <v>106</v>
      </c>
      <c r="G17" t="s">
        <v>107</v>
      </c>
      <c r="H17" s="25" t="s">
        <v>108</v>
      </c>
      <c r="I17">
        <v>21.398</v>
      </c>
      <c r="J17" s="1">
        <v>44040</v>
      </c>
      <c r="K17" t="s">
        <v>109</v>
      </c>
      <c r="L17">
        <v>5000</v>
      </c>
      <c r="M17">
        <v>0</v>
      </c>
      <c r="N17">
        <v>233.655</v>
      </c>
      <c r="O17" t="s">
        <v>103</v>
      </c>
      <c r="Q17" t="s">
        <v>113</v>
      </c>
    </row>
    <row r="18" spans="1:17">
      <c r="A18" t="s">
        <v>14</v>
      </c>
      <c r="B18" t="s">
        <v>15</v>
      </c>
      <c r="C18" s="1">
        <v>44040</v>
      </c>
      <c r="D18">
        <v>92100713</v>
      </c>
      <c r="E18" t="s">
        <v>92</v>
      </c>
      <c r="F18" t="s">
        <v>106</v>
      </c>
      <c r="G18" t="s">
        <v>107</v>
      </c>
      <c r="H18" s="25" t="s">
        <v>108</v>
      </c>
      <c r="I18">
        <v>21.317</v>
      </c>
      <c r="J18" s="1">
        <v>44040</v>
      </c>
      <c r="K18" t="s">
        <v>109</v>
      </c>
      <c r="L18">
        <v>356.2</v>
      </c>
      <c r="M18">
        <v>0</v>
      </c>
      <c r="N18">
        <v>16.71</v>
      </c>
      <c r="O18" t="s">
        <v>103</v>
      </c>
      <c r="Q18" t="s">
        <v>113</v>
      </c>
    </row>
    <row r="19" spans="1:17">
      <c r="A19" t="s">
        <v>14</v>
      </c>
      <c r="B19" t="s">
        <v>15</v>
      </c>
      <c r="C19" s="1">
        <v>44048</v>
      </c>
      <c r="D19">
        <v>92385427</v>
      </c>
      <c r="E19" t="s">
        <v>92</v>
      </c>
      <c r="F19" t="s">
        <v>110</v>
      </c>
      <c r="G19" t="s">
        <v>120</v>
      </c>
      <c r="H19" s="25" t="s">
        <v>112</v>
      </c>
      <c r="I19">
        <v>17.224900000000002</v>
      </c>
      <c r="J19" s="1">
        <v>44048</v>
      </c>
      <c r="K19" t="s">
        <v>102</v>
      </c>
      <c r="L19">
        <v>94.51</v>
      </c>
      <c r="M19">
        <v>0</v>
      </c>
      <c r="N19">
        <v>5.4870000000000001</v>
      </c>
      <c r="O19" t="s">
        <v>103</v>
      </c>
      <c r="Q19" t="s">
        <v>113</v>
      </c>
    </row>
    <row r="20" spans="1:17">
      <c r="A20" t="s">
        <v>14</v>
      </c>
      <c r="B20" t="s">
        <v>15</v>
      </c>
      <c r="C20" s="1">
        <v>44061</v>
      </c>
      <c r="D20">
        <v>92834291</v>
      </c>
      <c r="E20" t="s">
        <v>99</v>
      </c>
      <c r="F20" t="s">
        <v>117</v>
      </c>
      <c r="G20" t="s">
        <v>121</v>
      </c>
      <c r="H20" s="25">
        <v>91087813195</v>
      </c>
      <c r="I20">
        <v>30.98</v>
      </c>
      <c r="J20" s="1">
        <v>44062</v>
      </c>
      <c r="K20" t="s">
        <v>102</v>
      </c>
      <c r="L20">
        <v>25000</v>
      </c>
      <c r="M20">
        <v>0</v>
      </c>
      <c r="N20">
        <v>806.93200000000002</v>
      </c>
      <c r="O20" t="s">
        <v>103</v>
      </c>
      <c r="Q20" t="s">
        <v>105</v>
      </c>
    </row>
    <row r="21" spans="1:17">
      <c r="A21" t="s">
        <v>14</v>
      </c>
      <c r="B21" t="s">
        <v>15</v>
      </c>
      <c r="C21" s="1">
        <v>44067</v>
      </c>
      <c r="D21">
        <v>93011188</v>
      </c>
      <c r="E21" t="s">
        <v>119</v>
      </c>
      <c r="F21" t="s">
        <v>110</v>
      </c>
      <c r="G21" t="s">
        <v>120</v>
      </c>
      <c r="H21" s="25" t="s">
        <v>112</v>
      </c>
      <c r="I21">
        <v>18.048999999999999</v>
      </c>
      <c r="J21" s="1">
        <v>44067</v>
      </c>
      <c r="K21" t="s">
        <v>102</v>
      </c>
      <c r="L21">
        <v>5000</v>
      </c>
      <c r="M21">
        <v>0</v>
      </c>
      <c r="N21">
        <v>277.01</v>
      </c>
      <c r="O21" t="s">
        <v>103</v>
      </c>
      <c r="Q21" t="s">
        <v>113</v>
      </c>
    </row>
    <row r="22" spans="1:17">
      <c r="A22" t="s">
        <v>14</v>
      </c>
      <c r="B22" t="s">
        <v>15</v>
      </c>
      <c r="C22" s="1">
        <v>44069</v>
      </c>
      <c r="D22">
        <v>93141330</v>
      </c>
      <c r="E22" t="s">
        <v>92</v>
      </c>
      <c r="F22" t="s">
        <v>106</v>
      </c>
      <c r="G22" t="s">
        <v>107</v>
      </c>
      <c r="H22" s="25" t="s">
        <v>108</v>
      </c>
      <c r="I22">
        <v>22.478999999999999</v>
      </c>
      <c r="J22" s="1">
        <v>44069</v>
      </c>
      <c r="K22" t="s">
        <v>109</v>
      </c>
      <c r="L22">
        <v>413.78</v>
      </c>
      <c r="M22">
        <v>0</v>
      </c>
      <c r="N22">
        <v>18.407</v>
      </c>
      <c r="O22" t="s">
        <v>103</v>
      </c>
      <c r="Q22" t="s">
        <v>113</v>
      </c>
    </row>
    <row r="23" spans="1:17">
      <c r="A23" t="s">
        <v>14</v>
      </c>
      <c r="B23" t="s">
        <v>15</v>
      </c>
      <c r="C23" s="1">
        <v>44071</v>
      </c>
      <c r="D23">
        <v>93178156</v>
      </c>
      <c r="E23" t="s">
        <v>119</v>
      </c>
      <c r="F23" t="s">
        <v>106</v>
      </c>
      <c r="G23" t="s">
        <v>107</v>
      </c>
      <c r="H23" s="25" t="s">
        <v>108</v>
      </c>
      <c r="I23">
        <v>22.759</v>
      </c>
      <c r="J23" s="1">
        <v>44071</v>
      </c>
      <c r="K23" t="s">
        <v>109</v>
      </c>
      <c r="L23">
        <v>5000</v>
      </c>
      <c r="M23">
        <v>0</v>
      </c>
      <c r="N23">
        <v>219.68199999999999</v>
      </c>
      <c r="O23" t="s">
        <v>103</v>
      </c>
      <c r="Q23" t="s">
        <v>113</v>
      </c>
    </row>
    <row r="24" spans="1:17">
      <c r="A24" t="s">
        <v>14</v>
      </c>
      <c r="B24" t="s">
        <v>15</v>
      </c>
      <c r="C24" s="1">
        <v>44098</v>
      </c>
      <c r="D24">
        <v>94111638</v>
      </c>
      <c r="E24" t="s">
        <v>119</v>
      </c>
      <c r="F24" t="s">
        <v>110</v>
      </c>
      <c r="G24" t="s">
        <v>120</v>
      </c>
      <c r="H24" s="25" t="s">
        <v>112</v>
      </c>
      <c r="I24">
        <v>16.046500000000002</v>
      </c>
      <c r="J24" s="1">
        <v>44098</v>
      </c>
      <c r="K24" t="s">
        <v>102</v>
      </c>
      <c r="L24">
        <v>5000</v>
      </c>
      <c r="M24">
        <v>0</v>
      </c>
      <c r="N24">
        <v>311.57900000000001</v>
      </c>
      <c r="O24" t="s">
        <v>103</v>
      </c>
      <c r="Q24" t="s">
        <v>113</v>
      </c>
    </row>
    <row r="25" spans="1:17">
      <c r="A25" t="s">
        <v>14</v>
      </c>
      <c r="B25" t="s">
        <v>15</v>
      </c>
      <c r="C25" s="1">
        <v>44100</v>
      </c>
      <c r="D25">
        <v>94260425</v>
      </c>
      <c r="E25" t="s">
        <v>92</v>
      </c>
      <c r="F25" t="s">
        <v>106</v>
      </c>
      <c r="G25" t="s">
        <v>107</v>
      </c>
      <c r="H25" s="25" t="s">
        <v>108</v>
      </c>
      <c r="I25">
        <v>20.408000000000001</v>
      </c>
      <c r="J25" s="1">
        <v>44100</v>
      </c>
      <c r="K25" t="s">
        <v>109</v>
      </c>
      <c r="L25">
        <v>468.54</v>
      </c>
      <c r="M25">
        <v>0</v>
      </c>
      <c r="N25">
        <v>22.959</v>
      </c>
      <c r="O25" t="s">
        <v>103</v>
      </c>
      <c r="Q25" t="s">
        <v>113</v>
      </c>
    </row>
    <row r="26" spans="1:17">
      <c r="A26" t="s">
        <v>14</v>
      </c>
      <c r="B26" t="s">
        <v>15</v>
      </c>
      <c r="C26" s="1">
        <v>44102</v>
      </c>
      <c r="D26">
        <v>94244967</v>
      </c>
      <c r="E26" t="s">
        <v>119</v>
      </c>
      <c r="F26" t="s">
        <v>106</v>
      </c>
      <c r="G26" t="s">
        <v>107</v>
      </c>
      <c r="H26" s="25" t="s">
        <v>108</v>
      </c>
      <c r="I26">
        <v>20.808</v>
      </c>
      <c r="J26" s="1">
        <v>44102</v>
      </c>
      <c r="K26" t="s">
        <v>109</v>
      </c>
      <c r="L26">
        <v>5000</v>
      </c>
      <c r="M26">
        <v>0</v>
      </c>
      <c r="N26">
        <v>240.28</v>
      </c>
      <c r="O26" t="s">
        <v>103</v>
      </c>
      <c r="Q26" t="s">
        <v>113</v>
      </c>
    </row>
    <row r="27" spans="1:17">
      <c r="A27" t="s">
        <v>14</v>
      </c>
      <c r="B27" t="s">
        <v>15</v>
      </c>
      <c r="C27" s="1">
        <v>44119</v>
      </c>
      <c r="D27">
        <v>94940735</v>
      </c>
      <c r="E27" t="s">
        <v>99</v>
      </c>
      <c r="F27" t="s">
        <v>114</v>
      </c>
      <c r="G27" t="s">
        <v>122</v>
      </c>
      <c r="H27" s="25" t="s">
        <v>116</v>
      </c>
      <c r="I27">
        <v>37.56</v>
      </c>
      <c r="J27" s="1">
        <v>44119</v>
      </c>
      <c r="K27" t="s">
        <v>102</v>
      </c>
      <c r="L27">
        <v>200000</v>
      </c>
      <c r="M27">
        <v>0</v>
      </c>
      <c r="N27">
        <v>5324.5469999999996</v>
      </c>
      <c r="O27" t="s">
        <v>103</v>
      </c>
      <c r="Q27" t="s">
        <v>105</v>
      </c>
    </row>
    <row r="28" spans="1:17">
      <c r="A28" t="s">
        <v>14</v>
      </c>
      <c r="B28" t="s">
        <v>15</v>
      </c>
      <c r="C28" s="1">
        <v>44124</v>
      </c>
      <c r="D28">
        <v>95075300</v>
      </c>
      <c r="E28" t="s">
        <v>99</v>
      </c>
      <c r="F28" t="s">
        <v>100</v>
      </c>
      <c r="G28" t="s">
        <v>123</v>
      </c>
      <c r="H28" s="25">
        <v>1039297412</v>
      </c>
      <c r="I28">
        <v>415.50920000000002</v>
      </c>
      <c r="J28" s="1">
        <v>44124</v>
      </c>
      <c r="K28" t="s">
        <v>102</v>
      </c>
      <c r="L28">
        <v>100000</v>
      </c>
      <c r="M28">
        <v>0</v>
      </c>
      <c r="N28">
        <v>240.65700000000001</v>
      </c>
      <c r="O28" t="s">
        <v>103</v>
      </c>
      <c r="Q28" t="s">
        <v>105</v>
      </c>
    </row>
    <row r="29" spans="1:17" hidden="1">
      <c r="A29" t="s">
        <v>14</v>
      </c>
      <c r="B29" t="s">
        <v>15</v>
      </c>
      <c r="C29" s="1">
        <v>44124</v>
      </c>
      <c r="D29">
        <v>95075348</v>
      </c>
      <c r="E29" t="s">
        <v>124</v>
      </c>
      <c r="F29" t="s">
        <v>100</v>
      </c>
      <c r="G29" t="s">
        <v>101</v>
      </c>
      <c r="H29">
        <v>1039297412</v>
      </c>
      <c r="I29">
        <v>0</v>
      </c>
      <c r="J29" s="1">
        <v>46007</v>
      </c>
      <c r="K29" t="s">
        <v>102</v>
      </c>
      <c r="L29">
        <v>0</v>
      </c>
      <c r="M29">
        <v>0</v>
      </c>
      <c r="N29">
        <v>0</v>
      </c>
      <c r="O29" t="s">
        <v>125</v>
      </c>
      <c r="Q29" t="s">
        <v>105</v>
      </c>
    </row>
    <row r="30" spans="1:17">
      <c r="A30" t="s">
        <v>14</v>
      </c>
      <c r="B30" t="s">
        <v>15</v>
      </c>
      <c r="C30" s="1">
        <v>44128</v>
      </c>
      <c r="D30">
        <v>95174584</v>
      </c>
      <c r="E30" t="s">
        <v>119</v>
      </c>
      <c r="F30" t="s">
        <v>110</v>
      </c>
      <c r="G30" t="s">
        <v>120</v>
      </c>
      <c r="H30" s="25" t="s">
        <v>112</v>
      </c>
      <c r="I30">
        <v>16.5502</v>
      </c>
      <c r="J30" s="1">
        <v>44130</v>
      </c>
      <c r="K30" t="s">
        <v>102</v>
      </c>
      <c r="L30">
        <v>5000</v>
      </c>
      <c r="M30">
        <v>0</v>
      </c>
      <c r="N30">
        <v>302.096</v>
      </c>
      <c r="O30" t="s">
        <v>103</v>
      </c>
      <c r="Q30" t="s">
        <v>113</v>
      </c>
    </row>
    <row r="31" spans="1:17">
      <c r="A31" t="s">
        <v>14</v>
      </c>
      <c r="B31" t="s">
        <v>15</v>
      </c>
      <c r="C31" s="1">
        <v>44131</v>
      </c>
      <c r="D31">
        <v>95307503</v>
      </c>
      <c r="E31" t="s">
        <v>92</v>
      </c>
      <c r="F31" t="s">
        <v>106</v>
      </c>
      <c r="G31" t="s">
        <v>107</v>
      </c>
      <c r="H31" s="25" t="s">
        <v>108</v>
      </c>
      <c r="I31">
        <v>21.027999999999999</v>
      </c>
      <c r="J31" s="1">
        <v>44131</v>
      </c>
      <c r="K31" t="s">
        <v>109</v>
      </c>
      <c r="L31">
        <v>529.08000000000004</v>
      </c>
      <c r="M31">
        <v>0</v>
      </c>
      <c r="N31">
        <v>25.161000000000001</v>
      </c>
      <c r="O31" t="s">
        <v>103</v>
      </c>
      <c r="Q31" t="s">
        <v>113</v>
      </c>
    </row>
    <row r="32" spans="1:17">
      <c r="A32" t="s">
        <v>14</v>
      </c>
      <c r="B32" t="s">
        <v>15</v>
      </c>
      <c r="C32" s="1">
        <v>44132</v>
      </c>
      <c r="D32">
        <v>95303782</v>
      </c>
      <c r="E32" t="s">
        <v>119</v>
      </c>
      <c r="F32" t="s">
        <v>106</v>
      </c>
      <c r="G32" t="s">
        <v>107</v>
      </c>
      <c r="H32" s="25" t="s">
        <v>108</v>
      </c>
      <c r="I32">
        <v>20.927</v>
      </c>
      <c r="J32" s="1">
        <v>44132</v>
      </c>
      <c r="K32" t="s">
        <v>109</v>
      </c>
      <c r="L32">
        <v>5000</v>
      </c>
      <c r="M32">
        <v>0</v>
      </c>
      <c r="N32">
        <v>238.91399999999999</v>
      </c>
      <c r="O32" t="s">
        <v>103</v>
      </c>
      <c r="Q32" t="s">
        <v>113</v>
      </c>
    </row>
    <row r="33" spans="1:17">
      <c r="A33" t="s">
        <v>14</v>
      </c>
      <c r="B33" t="s">
        <v>15</v>
      </c>
      <c r="C33" s="1">
        <v>44137</v>
      </c>
      <c r="D33">
        <v>95474589</v>
      </c>
      <c r="E33" t="s">
        <v>99</v>
      </c>
      <c r="F33" t="s">
        <v>126</v>
      </c>
      <c r="G33" t="s">
        <v>127</v>
      </c>
      <c r="H33" s="25">
        <v>79932348715</v>
      </c>
      <c r="I33">
        <v>22.344999999999999</v>
      </c>
      <c r="J33" s="1">
        <v>44152</v>
      </c>
      <c r="K33" t="s">
        <v>102</v>
      </c>
      <c r="L33">
        <v>200000</v>
      </c>
      <c r="M33">
        <v>0</v>
      </c>
      <c r="N33">
        <v>8950</v>
      </c>
      <c r="O33" t="s">
        <v>103</v>
      </c>
      <c r="Q33" t="s">
        <v>105</v>
      </c>
    </row>
    <row r="34" spans="1:17" hidden="1">
      <c r="A34" t="s">
        <v>14</v>
      </c>
      <c r="B34" t="s">
        <v>15</v>
      </c>
      <c r="C34" s="1">
        <v>44148</v>
      </c>
      <c r="D34">
        <v>95920767</v>
      </c>
      <c r="E34" t="s">
        <v>99</v>
      </c>
      <c r="F34" t="s">
        <v>110</v>
      </c>
      <c r="G34" t="s">
        <v>128</v>
      </c>
      <c r="H34" t="s">
        <v>112</v>
      </c>
      <c r="I34">
        <v>0</v>
      </c>
      <c r="J34" s="1">
        <v>46007</v>
      </c>
      <c r="K34" t="s">
        <v>102</v>
      </c>
      <c r="L34">
        <v>100000</v>
      </c>
      <c r="M34">
        <v>0</v>
      </c>
      <c r="N34">
        <v>0</v>
      </c>
      <c r="O34" t="s">
        <v>129</v>
      </c>
      <c r="Q34" t="s">
        <v>105</v>
      </c>
    </row>
    <row r="35" spans="1:17">
      <c r="A35" t="s">
        <v>14</v>
      </c>
      <c r="B35" t="s">
        <v>15</v>
      </c>
      <c r="C35" s="1">
        <v>44148</v>
      </c>
      <c r="D35">
        <v>95920772</v>
      </c>
      <c r="E35" t="s">
        <v>99</v>
      </c>
      <c r="F35" t="s">
        <v>110</v>
      </c>
      <c r="G35" t="s">
        <v>128</v>
      </c>
      <c r="H35" s="25" t="s">
        <v>112</v>
      </c>
      <c r="I35">
        <v>10.58</v>
      </c>
      <c r="J35" s="1">
        <v>44148</v>
      </c>
      <c r="K35" t="s">
        <v>102</v>
      </c>
      <c r="L35">
        <v>100000</v>
      </c>
      <c r="M35">
        <v>0</v>
      </c>
      <c r="N35">
        <v>9451.3230000000003</v>
      </c>
      <c r="O35" t="s">
        <v>103</v>
      </c>
      <c r="Q35" t="s">
        <v>105</v>
      </c>
    </row>
    <row r="36" spans="1:17">
      <c r="A36" t="s">
        <v>14</v>
      </c>
      <c r="B36" t="s">
        <v>15</v>
      </c>
      <c r="C36" s="1">
        <v>44152</v>
      </c>
      <c r="D36">
        <v>96833552</v>
      </c>
      <c r="E36" t="s">
        <v>130</v>
      </c>
      <c r="F36" t="s">
        <v>126</v>
      </c>
      <c r="G36" t="s">
        <v>127</v>
      </c>
      <c r="H36" s="25">
        <v>79932348715</v>
      </c>
      <c r="I36">
        <v>22.344999999999999</v>
      </c>
      <c r="J36" s="1">
        <v>44152</v>
      </c>
      <c r="K36" t="s">
        <v>102</v>
      </c>
      <c r="L36">
        <v>199990</v>
      </c>
      <c r="M36">
        <v>0</v>
      </c>
      <c r="N36">
        <v>8950</v>
      </c>
      <c r="O36" t="s">
        <v>103</v>
      </c>
      <c r="Q36" t="s">
        <v>113</v>
      </c>
    </row>
    <row r="37" spans="1:17">
      <c r="A37" t="s">
        <v>14</v>
      </c>
      <c r="B37" t="s">
        <v>15</v>
      </c>
      <c r="C37" s="1">
        <v>44159</v>
      </c>
      <c r="D37">
        <v>96265204</v>
      </c>
      <c r="E37" t="s">
        <v>119</v>
      </c>
      <c r="F37" t="s">
        <v>110</v>
      </c>
      <c r="G37" t="s">
        <v>120</v>
      </c>
      <c r="H37" s="25" t="s">
        <v>112</v>
      </c>
      <c r="I37">
        <v>17.810500000000001</v>
      </c>
      <c r="J37" s="1">
        <v>44159</v>
      </c>
      <c r="K37" t="s">
        <v>102</v>
      </c>
      <c r="L37">
        <v>5000</v>
      </c>
      <c r="M37">
        <v>0</v>
      </c>
      <c r="N37">
        <v>280.71899999999999</v>
      </c>
      <c r="O37" t="s">
        <v>103</v>
      </c>
      <c r="Q37" t="s">
        <v>113</v>
      </c>
    </row>
    <row r="38" spans="1:17">
      <c r="A38" t="s">
        <v>14</v>
      </c>
      <c r="B38" t="s">
        <v>15</v>
      </c>
      <c r="C38" s="1">
        <v>44161</v>
      </c>
      <c r="D38">
        <v>96392184</v>
      </c>
      <c r="E38" t="s">
        <v>92</v>
      </c>
      <c r="F38" t="s">
        <v>106</v>
      </c>
      <c r="G38" t="s">
        <v>107</v>
      </c>
      <c r="H38" s="25" t="s">
        <v>108</v>
      </c>
      <c r="I38">
        <v>23.113</v>
      </c>
      <c r="J38" s="1">
        <v>44161</v>
      </c>
      <c r="K38" t="s">
        <v>109</v>
      </c>
      <c r="L38">
        <v>589.80999999999995</v>
      </c>
      <c r="M38">
        <v>0</v>
      </c>
      <c r="N38">
        <v>25.518999999999998</v>
      </c>
      <c r="O38" t="s">
        <v>103</v>
      </c>
      <c r="Q38" t="s">
        <v>113</v>
      </c>
    </row>
    <row r="39" spans="1:17">
      <c r="A39" t="s">
        <v>14</v>
      </c>
      <c r="B39" t="s">
        <v>15</v>
      </c>
      <c r="C39" s="1">
        <v>44163</v>
      </c>
      <c r="D39">
        <v>96432721</v>
      </c>
      <c r="E39" t="s">
        <v>119</v>
      </c>
      <c r="F39" t="s">
        <v>106</v>
      </c>
      <c r="G39" t="s">
        <v>107</v>
      </c>
      <c r="H39" s="25" t="s">
        <v>108</v>
      </c>
      <c r="I39">
        <v>23.504000000000001</v>
      </c>
      <c r="J39" s="1">
        <v>44166</v>
      </c>
      <c r="K39" t="s">
        <v>109</v>
      </c>
      <c r="L39">
        <v>5000</v>
      </c>
      <c r="M39">
        <v>0</v>
      </c>
      <c r="N39">
        <v>212.71899999999999</v>
      </c>
      <c r="O39" t="s">
        <v>103</v>
      </c>
      <c r="Q39" t="s">
        <v>113</v>
      </c>
    </row>
    <row r="40" spans="1:17">
      <c r="A40" t="s">
        <v>14</v>
      </c>
      <c r="B40" t="s">
        <v>15</v>
      </c>
      <c r="C40" s="1">
        <v>44189</v>
      </c>
      <c r="D40">
        <v>97448198</v>
      </c>
      <c r="E40" t="s">
        <v>119</v>
      </c>
      <c r="F40" t="s">
        <v>110</v>
      </c>
      <c r="G40" t="s">
        <v>120</v>
      </c>
      <c r="H40" s="25" t="s">
        <v>112</v>
      </c>
      <c r="I40">
        <v>19.090800000000002</v>
      </c>
      <c r="J40" s="1">
        <v>44189</v>
      </c>
      <c r="K40" t="s">
        <v>102</v>
      </c>
      <c r="L40">
        <v>5000</v>
      </c>
      <c r="M40">
        <v>0</v>
      </c>
      <c r="N40">
        <v>261.89299999999997</v>
      </c>
      <c r="O40" t="s">
        <v>103</v>
      </c>
      <c r="Q40" t="s">
        <v>113</v>
      </c>
    </row>
    <row r="41" spans="1:17">
      <c r="A41" t="s">
        <v>14</v>
      </c>
      <c r="B41" t="s">
        <v>15</v>
      </c>
      <c r="C41" s="1">
        <v>44193</v>
      </c>
      <c r="D41">
        <v>97576018</v>
      </c>
      <c r="E41" t="s">
        <v>119</v>
      </c>
      <c r="F41" t="s">
        <v>106</v>
      </c>
      <c r="G41" t="s">
        <v>107</v>
      </c>
      <c r="H41" s="25" t="s">
        <v>108</v>
      </c>
      <c r="I41">
        <v>25.08</v>
      </c>
      <c r="J41" s="1">
        <v>44193</v>
      </c>
      <c r="K41" t="s">
        <v>109</v>
      </c>
      <c r="L41">
        <v>5000</v>
      </c>
      <c r="M41">
        <v>0</v>
      </c>
      <c r="N41">
        <v>199.352</v>
      </c>
      <c r="O41" t="s">
        <v>103</v>
      </c>
      <c r="Q41" t="s">
        <v>113</v>
      </c>
    </row>
    <row r="42" spans="1:17">
      <c r="A42" t="s">
        <v>14</v>
      </c>
      <c r="B42" t="s">
        <v>15</v>
      </c>
      <c r="C42" s="1">
        <v>44194</v>
      </c>
      <c r="D42">
        <v>97636527</v>
      </c>
      <c r="E42" t="s">
        <v>92</v>
      </c>
      <c r="F42" t="s">
        <v>106</v>
      </c>
      <c r="G42" t="s">
        <v>107</v>
      </c>
      <c r="H42" s="25" t="s">
        <v>108</v>
      </c>
      <c r="I42">
        <v>24.85</v>
      </c>
      <c r="J42" s="1">
        <v>44194</v>
      </c>
      <c r="K42" t="s">
        <v>109</v>
      </c>
      <c r="L42">
        <v>690.49</v>
      </c>
      <c r="M42">
        <v>0</v>
      </c>
      <c r="N42">
        <v>27.785</v>
      </c>
      <c r="O42" t="s">
        <v>103</v>
      </c>
      <c r="Q42" t="s">
        <v>113</v>
      </c>
    </row>
    <row r="43" spans="1:17">
      <c r="A43" t="s">
        <v>14</v>
      </c>
      <c r="B43" t="s">
        <v>15</v>
      </c>
      <c r="C43" s="1">
        <v>44220</v>
      </c>
      <c r="D43">
        <v>98687732</v>
      </c>
      <c r="E43" t="s">
        <v>119</v>
      </c>
      <c r="F43" t="s">
        <v>110</v>
      </c>
      <c r="G43" t="s">
        <v>120</v>
      </c>
      <c r="H43" s="25" t="s">
        <v>112</v>
      </c>
      <c r="I43">
        <v>19.325199999999999</v>
      </c>
      <c r="J43" s="1">
        <v>44221</v>
      </c>
      <c r="K43" t="s">
        <v>102</v>
      </c>
      <c r="L43">
        <v>5000</v>
      </c>
      <c r="M43">
        <v>0</v>
      </c>
      <c r="N43">
        <v>258.71699999999998</v>
      </c>
      <c r="O43" t="s">
        <v>103</v>
      </c>
      <c r="Q43" t="s">
        <v>113</v>
      </c>
    </row>
    <row r="44" spans="1:17">
      <c r="A44" t="s">
        <v>14</v>
      </c>
      <c r="B44" t="s">
        <v>15</v>
      </c>
      <c r="C44" s="1">
        <v>44222</v>
      </c>
      <c r="D44">
        <v>98773381</v>
      </c>
      <c r="E44" t="s">
        <v>92</v>
      </c>
      <c r="F44" t="s">
        <v>106</v>
      </c>
      <c r="G44" t="s">
        <v>107</v>
      </c>
      <c r="H44" s="25" t="s">
        <v>108</v>
      </c>
      <c r="I44">
        <v>25.074000000000002</v>
      </c>
      <c r="J44" s="1">
        <v>44222</v>
      </c>
      <c r="K44" t="s">
        <v>109</v>
      </c>
      <c r="L44">
        <v>371.88</v>
      </c>
      <c r="M44">
        <v>0</v>
      </c>
      <c r="N44">
        <v>14.831</v>
      </c>
      <c r="O44" t="s">
        <v>103</v>
      </c>
      <c r="Q44" t="s">
        <v>113</v>
      </c>
    </row>
    <row r="45" spans="1:17">
      <c r="A45" t="s">
        <v>14</v>
      </c>
      <c r="B45" t="s">
        <v>15</v>
      </c>
      <c r="C45" s="1">
        <v>44224</v>
      </c>
      <c r="D45">
        <v>98838279</v>
      </c>
      <c r="E45" t="s">
        <v>119</v>
      </c>
      <c r="F45" t="s">
        <v>106</v>
      </c>
      <c r="G45" t="s">
        <v>107</v>
      </c>
      <c r="H45" s="25" t="s">
        <v>108</v>
      </c>
      <c r="I45">
        <v>24.786999999999999</v>
      </c>
      <c r="J45" s="1">
        <v>44224</v>
      </c>
      <c r="K45" t="s">
        <v>109</v>
      </c>
      <c r="L45">
        <v>5000</v>
      </c>
      <c r="M45">
        <v>0</v>
      </c>
      <c r="N45">
        <v>201.709</v>
      </c>
      <c r="O45" t="s">
        <v>103</v>
      </c>
      <c r="Q45" t="s">
        <v>113</v>
      </c>
    </row>
    <row r="46" spans="1:17">
      <c r="A46" t="s">
        <v>14</v>
      </c>
      <c r="B46" t="s">
        <v>15</v>
      </c>
      <c r="C46" s="1">
        <v>44251</v>
      </c>
      <c r="D46">
        <v>100012306</v>
      </c>
      <c r="E46" t="s">
        <v>119</v>
      </c>
      <c r="F46" t="s">
        <v>110</v>
      </c>
      <c r="G46" t="s">
        <v>120</v>
      </c>
      <c r="H46" s="25" t="s">
        <v>112</v>
      </c>
      <c r="I46">
        <v>20.939399999999999</v>
      </c>
      <c r="J46" s="1">
        <v>44251</v>
      </c>
      <c r="K46" t="s">
        <v>102</v>
      </c>
      <c r="L46">
        <v>5000</v>
      </c>
      <c r="M46">
        <v>0</v>
      </c>
      <c r="N46">
        <v>238.77199999999999</v>
      </c>
      <c r="O46" t="s">
        <v>103</v>
      </c>
      <c r="Q46" t="s">
        <v>113</v>
      </c>
    </row>
    <row r="47" spans="1:17">
      <c r="A47" t="s">
        <v>14</v>
      </c>
      <c r="B47" t="s">
        <v>15</v>
      </c>
      <c r="C47" s="1">
        <v>44253</v>
      </c>
      <c r="D47">
        <v>100149217</v>
      </c>
      <c r="E47" t="s">
        <v>92</v>
      </c>
      <c r="F47" t="s">
        <v>106</v>
      </c>
      <c r="G47" t="s">
        <v>107</v>
      </c>
      <c r="H47" s="25" t="s">
        <v>108</v>
      </c>
      <c r="I47">
        <v>27.677</v>
      </c>
      <c r="J47" s="1">
        <v>44253</v>
      </c>
      <c r="K47" t="s">
        <v>109</v>
      </c>
      <c r="L47">
        <v>690.69</v>
      </c>
      <c r="M47">
        <v>0</v>
      </c>
      <c r="N47">
        <v>24.954000000000001</v>
      </c>
      <c r="O47" t="s">
        <v>103</v>
      </c>
      <c r="Q47" t="s">
        <v>113</v>
      </c>
    </row>
    <row r="48" spans="1:17">
      <c r="A48" t="s">
        <v>14</v>
      </c>
      <c r="B48" t="s">
        <v>15</v>
      </c>
      <c r="C48" s="1">
        <v>44255</v>
      </c>
      <c r="D48">
        <v>100182427</v>
      </c>
      <c r="E48" t="s">
        <v>119</v>
      </c>
      <c r="F48" t="s">
        <v>106</v>
      </c>
      <c r="G48" t="s">
        <v>107</v>
      </c>
      <c r="H48" s="25" t="s">
        <v>108</v>
      </c>
      <c r="I48">
        <v>27.347000000000001</v>
      </c>
      <c r="J48" s="1">
        <v>44256</v>
      </c>
      <c r="K48" t="s">
        <v>109</v>
      </c>
      <c r="L48">
        <v>5000</v>
      </c>
      <c r="M48">
        <v>0</v>
      </c>
      <c r="N48">
        <v>182.82599999999999</v>
      </c>
      <c r="O48" t="s">
        <v>103</v>
      </c>
      <c r="Q48" t="s">
        <v>113</v>
      </c>
    </row>
    <row r="49" spans="1:17">
      <c r="A49" t="s">
        <v>14</v>
      </c>
      <c r="B49" t="s">
        <v>15</v>
      </c>
      <c r="C49" s="1">
        <v>44279</v>
      </c>
      <c r="D49">
        <v>101224273</v>
      </c>
      <c r="E49" t="s">
        <v>119</v>
      </c>
      <c r="F49" t="s">
        <v>110</v>
      </c>
      <c r="G49" t="s">
        <v>120</v>
      </c>
      <c r="H49" s="25" t="s">
        <v>112</v>
      </c>
      <c r="I49">
        <v>20.269500000000001</v>
      </c>
      <c r="J49" s="1">
        <v>44279</v>
      </c>
      <c r="K49" t="s">
        <v>102</v>
      </c>
      <c r="L49">
        <v>5000</v>
      </c>
      <c r="M49">
        <v>0</v>
      </c>
      <c r="N49">
        <v>246.66399999999999</v>
      </c>
      <c r="O49" t="s">
        <v>103</v>
      </c>
      <c r="Q49" t="s">
        <v>113</v>
      </c>
    </row>
    <row r="50" spans="1:17">
      <c r="A50" t="s">
        <v>14</v>
      </c>
      <c r="B50" t="s">
        <v>15</v>
      </c>
      <c r="C50" s="1">
        <v>44281</v>
      </c>
      <c r="D50">
        <v>101374122</v>
      </c>
      <c r="E50" t="s">
        <v>92</v>
      </c>
      <c r="F50" t="s">
        <v>106</v>
      </c>
      <c r="G50" t="s">
        <v>107</v>
      </c>
      <c r="H50" s="25" t="s">
        <v>108</v>
      </c>
      <c r="I50">
        <v>25.885999999999999</v>
      </c>
      <c r="J50" s="1">
        <v>44281</v>
      </c>
      <c r="K50" t="s">
        <v>109</v>
      </c>
      <c r="L50">
        <v>734.47</v>
      </c>
      <c r="M50">
        <v>0</v>
      </c>
      <c r="N50">
        <v>28.372</v>
      </c>
      <c r="O50" t="s">
        <v>103</v>
      </c>
      <c r="Q50" t="s">
        <v>113</v>
      </c>
    </row>
    <row r="51" spans="1:17">
      <c r="A51" t="s">
        <v>14</v>
      </c>
      <c r="B51" t="s">
        <v>15</v>
      </c>
      <c r="C51" s="1">
        <v>44283</v>
      </c>
      <c r="D51">
        <v>101403901</v>
      </c>
      <c r="E51" t="s">
        <v>119</v>
      </c>
      <c r="F51" t="s">
        <v>106</v>
      </c>
      <c r="G51" t="s">
        <v>107</v>
      </c>
      <c r="H51" s="25" t="s">
        <v>108</v>
      </c>
      <c r="I51">
        <v>26.329000000000001</v>
      </c>
      <c r="J51" s="1">
        <v>44285</v>
      </c>
      <c r="K51" t="s">
        <v>109</v>
      </c>
      <c r="L51">
        <v>5000</v>
      </c>
      <c r="M51">
        <v>0</v>
      </c>
      <c r="N51">
        <v>189.89500000000001</v>
      </c>
      <c r="O51" t="s">
        <v>103</v>
      </c>
      <c r="Q51" t="s">
        <v>113</v>
      </c>
    </row>
    <row r="52" spans="1:17">
      <c r="A52" t="s">
        <v>14</v>
      </c>
      <c r="B52" t="s">
        <v>15</v>
      </c>
      <c r="C52" s="1">
        <v>44310</v>
      </c>
      <c r="D52">
        <v>102457300</v>
      </c>
      <c r="E52" t="s">
        <v>119</v>
      </c>
      <c r="F52" t="s">
        <v>110</v>
      </c>
      <c r="G52" t="s">
        <v>120</v>
      </c>
      <c r="H52" s="25" t="s">
        <v>112</v>
      </c>
      <c r="I52">
        <v>20.282900000000001</v>
      </c>
      <c r="J52" s="1">
        <v>44312</v>
      </c>
      <c r="K52" t="s">
        <v>102</v>
      </c>
      <c r="L52">
        <v>5000</v>
      </c>
      <c r="M52">
        <v>0</v>
      </c>
      <c r="N52">
        <v>246.501</v>
      </c>
      <c r="O52" t="s">
        <v>103</v>
      </c>
      <c r="Q52" t="s">
        <v>113</v>
      </c>
    </row>
    <row r="53" spans="1:17">
      <c r="A53" t="s">
        <v>14</v>
      </c>
      <c r="B53" t="s">
        <v>15</v>
      </c>
      <c r="C53" s="1">
        <v>44313</v>
      </c>
      <c r="D53">
        <v>102612510</v>
      </c>
      <c r="E53" t="s">
        <v>92</v>
      </c>
      <c r="F53" t="s">
        <v>106</v>
      </c>
      <c r="G53" t="s">
        <v>107</v>
      </c>
      <c r="H53" s="25" t="s">
        <v>108</v>
      </c>
      <c r="I53">
        <v>25.696000000000002</v>
      </c>
      <c r="J53" s="1">
        <v>44313</v>
      </c>
      <c r="K53" t="s">
        <v>109</v>
      </c>
      <c r="L53">
        <v>844.68</v>
      </c>
      <c r="M53">
        <v>0</v>
      </c>
      <c r="N53">
        <v>32.869999999999997</v>
      </c>
      <c r="O53" t="s">
        <v>103</v>
      </c>
      <c r="Q53" t="s">
        <v>113</v>
      </c>
    </row>
    <row r="54" spans="1:17">
      <c r="A54" t="s">
        <v>14</v>
      </c>
      <c r="B54" t="s">
        <v>15</v>
      </c>
      <c r="C54" s="1">
        <v>44314</v>
      </c>
      <c r="D54">
        <v>102605850</v>
      </c>
      <c r="E54" t="s">
        <v>119</v>
      </c>
      <c r="F54" t="s">
        <v>106</v>
      </c>
      <c r="G54" t="s">
        <v>107</v>
      </c>
      <c r="H54" s="25" t="s">
        <v>108</v>
      </c>
      <c r="I54">
        <v>26.099</v>
      </c>
      <c r="J54" s="1">
        <v>44314</v>
      </c>
      <c r="K54" t="s">
        <v>109</v>
      </c>
      <c r="L54">
        <v>5000</v>
      </c>
      <c r="M54">
        <v>0</v>
      </c>
      <c r="N54">
        <v>191.56899999999999</v>
      </c>
      <c r="O54" t="s">
        <v>103</v>
      </c>
      <c r="Q54" t="s">
        <v>113</v>
      </c>
    </row>
    <row r="55" spans="1:17">
      <c r="A55" t="s">
        <v>14</v>
      </c>
      <c r="B55" t="s">
        <v>15</v>
      </c>
      <c r="C55" s="1">
        <v>44340</v>
      </c>
      <c r="D55">
        <v>103712972</v>
      </c>
      <c r="E55" t="s">
        <v>119</v>
      </c>
      <c r="F55" t="s">
        <v>110</v>
      </c>
      <c r="G55" t="s">
        <v>120</v>
      </c>
      <c r="H55" s="25" t="s">
        <v>112</v>
      </c>
      <c r="I55">
        <v>21.554500000000001</v>
      </c>
      <c r="J55" s="1">
        <v>44340</v>
      </c>
      <c r="K55" t="s">
        <v>102</v>
      </c>
      <c r="L55">
        <v>5000</v>
      </c>
      <c r="M55">
        <v>0</v>
      </c>
      <c r="N55">
        <v>231.959</v>
      </c>
      <c r="O55" t="s">
        <v>103</v>
      </c>
      <c r="Q55" t="s">
        <v>113</v>
      </c>
    </row>
    <row r="56" spans="1:17">
      <c r="A56" t="s">
        <v>14</v>
      </c>
      <c r="B56" t="s">
        <v>15</v>
      </c>
      <c r="C56" s="1">
        <v>44342</v>
      </c>
      <c r="D56">
        <v>103856790</v>
      </c>
      <c r="E56" t="s">
        <v>92</v>
      </c>
      <c r="F56" t="s">
        <v>106</v>
      </c>
      <c r="G56" t="s">
        <v>107</v>
      </c>
      <c r="H56" s="25" t="s">
        <v>108</v>
      </c>
      <c r="I56">
        <v>27.675999999999998</v>
      </c>
      <c r="J56" s="1">
        <v>44342</v>
      </c>
      <c r="K56" t="s">
        <v>109</v>
      </c>
      <c r="L56">
        <v>896.3</v>
      </c>
      <c r="M56">
        <v>0</v>
      </c>
      <c r="N56">
        <v>32.384</v>
      </c>
      <c r="O56" t="s">
        <v>103</v>
      </c>
      <c r="Q56" t="s">
        <v>113</v>
      </c>
    </row>
    <row r="57" spans="1:17">
      <c r="A57" t="s">
        <v>14</v>
      </c>
      <c r="B57" t="s">
        <v>15</v>
      </c>
      <c r="C57" s="1">
        <v>44344</v>
      </c>
      <c r="D57">
        <v>103894892</v>
      </c>
      <c r="E57" t="s">
        <v>119</v>
      </c>
      <c r="F57" t="s">
        <v>106</v>
      </c>
      <c r="G57" t="s">
        <v>107</v>
      </c>
      <c r="H57" s="25" t="s">
        <v>108</v>
      </c>
      <c r="I57">
        <v>27.748999999999999</v>
      </c>
      <c r="J57" s="1">
        <v>44344</v>
      </c>
      <c r="K57" t="s">
        <v>109</v>
      </c>
      <c r="L57">
        <v>5000</v>
      </c>
      <c r="M57">
        <v>0</v>
      </c>
      <c r="N57">
        <v>180.178</v>
      </c>
      <c r="O57" t="s">
        <v>103</v>
      </c>
      <c r="Q57" t="s">
        <v>113</v>
      </c>
    </row>
    <row r="58" spans="1:17">
      <c r="A58" t="s">
        <v>14</v>
      </c>
      <c r="B58" t="s">
        <v>15</v>
      </c>
      <c r="C58" s="1">
        <v>44353</v>
      </c>
      <c r="D58">
        <v>104313015</v>
      </c>
      <c r="E58" t="s">
        <v>99</v>
      </c>
      <c r="F58" t="s">
        <v>110</v>
      </c>
      <c r="G58" t="s">
        <v>111</v>
      </c>
      <c r="H58" s="25" t="s">
        <v>112</v>
      </c>
      <c r="I58">
        <v>144.07</v>
      </c>
      <c r="J58" s="1">
        <v>44354</v>
      </c>
      <c r="K58" t="s">
        <v>102</v>
      </c>
      <c r="L58">
        <v>20000</v>
      </c>
      <c r="M58">
        <v>0</v>
      </c>
      <c r="N58">
        <v>138.81399999999999</v>
      </c>
      <c r="O58" t="s">
        <v>103</v>
      </c>
      <c r="Q58" t="s">
        <v>105</v>
      </c>
    </row>
    <row r="59" spans="1:17">
      <c r="A59" t="s">
        <v>14</v>
      </c>
      <c r="B59" t="s">
        <v>15</v>
      </c>
      <c r="C59" s="1">
        <v>44353</v>
      </c>
      <c r="D59">
        <v>104313017</v>
      </c>
      <c r="E59" t="s">
        <v>99</v>
      </c>
      <c r="F59" t="s">
        <v>114</v>
      </c>
      <c r="G59" t="s">
        <v>115</v>
      </c>
      <c r="H59" s="25" t="s">
        <v>116</v>
      </c>
      <c r="I59">
        <v>188.2</v>
      </c>
      <c r="J59" s="1">
        <v>44354</v>
      </c>
      <c r="K59" t="s">
        <v>102</v>
      </c>
      <c r="L59">
        <v>20000</v>
      </c>
      <c r="M59">
        <v>0</v>
      </c>
      <c r="N59">
        <v>106.265</v>
      </c>
      <c r="O59" t="s">
        <v>103</v>
      </c>
      <c r="Q59" t="s">
        <v>105</v>
      </c>
    </row>
    <row r="60" spans="1:17">
      <c r="A60" t="s">
        <v>14</v>
      </c>
      <c r="B60" t="s">
        <v>15</v>
      </c>
      <c r="C60" s="1">
        <v>44371</v>
      </c>
      <c r="D60">
        <v>105130082</v>
      </c>
      <c r="E60" t="s">
        <v>119</v>
      </c>
      <c r="F60" t="s">
        <v>110</v>
      </c>
      <c r="G60" t="s">
        <v>120</v>
      </c>
      <c r="H60" s="25" t="s">
        <v>112</v>
      </c>
      <c r="I60">
        <v>21.767700000000001</v>
      </c>
      <c r="J60" s="1">
        <v>44371</v>
      </c>
      <c r="K60" t="s">
        <v>102</v>
      </c>
      <c r="L60">
        <v>5000</v>
      </c>
      <c r="M60">
        <v>0</v>
      </c>
      <c r="N60">
        <v>229.68700000000001</v>
      </c>
      <c r="O60" t="s">
        <v>103</v>
      </c>
      <c r="Q60" t="s">
        <v>113</v>
      </c>
    </row>
    <row r="61" spans="1:17">
      <c r="A61" t="s">
        <v>14</v>
      </c>
      <c r="B61" t="s">
        <v>15</v>
      </c>
      <c r="C61" s="1">
        <v>44373</v>
      </c>
      <c r="D61">
        <v>105360277</v>
      </c>
      <c r="E61" t="s">
        <v>92</v>
      </c>
      <c r="F61" t="s">
        <v>106</v>
      </c>
      <c r="G61" t="s">
        <v>107</v>
      </c>
      <c r="H61" s="25" t="s">
        <v>108</v>
      </c>
      <c r="I61">
        <v>28.135999999999999</v>
      </c>
      <c r="J61" s="1">
        <v>44373</v>
      </c>
      <c r="K61" t="s">
        <v>109</v>
      </c>
      <c r="L61">
        <v>945.19</v>
      </c>
      <c r="M61">
        <v>0</v>
      </c>
      <c r="N61">
        <v>33.591999999999999</v>
      </c>
      <c r="O61" t="s">
        <v>103</v>
      </c>
      <c r="Q61" t="s">
        <v>113</v>
      </c>
    </row>
    <row r="62" spans="1:17">
      <c r="A62" t="s">
        <v>14</v>
      </c>
      <c r="B62" t="s">
        <v>15</v>
      </c>
      <c r="C62" s="1">
        <v>44375</v>
      </c>
      <c r="D62">
        <v>105353008</v>
      </c>
      <c r="E62" t="s">
        <v>119</v>
      </c>
      <c r="F62" t="s">
        <v>106</v>
      </c>
      <c r="G62" t="s">
        <v>107</v>
      </c>
      <c r="H62" s="25" t="s">
        <v>108</v>
      </c>
      <c r="I62">
        <v>28.173999999999999</v>
      </c>
      <c r="J62" s="1">
        <v>44375</v>
      </c>
      <c r="K62" t="s">
        <v>109</v>
      </c>
      <c r="L62">
        <v>5000</v>
      </c>
      <c r="M62">
        <v>0</v>
      </c>
      <c r="N62">
        <v>177.46</v>
      </c>
      <c r="O62" t="s">
        <v>103</v>
      </c>
      <c r="Q62" t="s">
        <v>113</v>
      </c>
    </row>
    <row r="63" spans="1:17">
      <c r="A63" t="s">
        <v>14</v>
      </c>
      <c r="B63" t="s">
        <v>15</v>
      </c>
      <c r="C63" s="1">
        <v>44383</v>
      </c>
      <c r="D63">
        <v>105769848</v>
      </c>
      <c r="E63" t="s">
        <v>99</v>
      </c>
      <c r="F63" t="s">
        <v>110</v>
      </c>
      <c r="G63" t="s">
        <v>131</v>
      </c>
      <c r="H63" s="25" t="s">
        <v>112</v>
      </c>
      <c r="I63">
        <v>10</v>
      </c>
      <c r="J63" s="1">
        <v>44394</v>
      </c>
      <c r="K63" t="s">
        <v>102</v>
      </c>
      <c r="L63">
        <v>50000</v>
      </c>
      <c r="M63">
        <v>0</v>
      </c>
      <c r="N63">
        <v>4999.75</v>
      </c>
      <c r="O63" t="s">
        <v>103</v>
      </c>
      <c r="Q63" t="s">
        <v>105</v>
      </c>
    </row>
    <row r="64" spans="1:17">
      <c r="A64" t="s">
        <v>14</v>
      </c>
      <c r="B64" t="s">
        <v>15</v>
      </c>
      <c r="C64" s="1">
        <v>44401</v>
      </c>
      <c r="D64">
        <v>106579654</v>
      </c>
      <c r="E64" t="s">
        <v>119</v>
      </c>
      <c r="F64" t="s">
        <v>110</v>
      </c>
      <c r="G64" t="s">
        <v>120</v>
      </c>
      <c r="H64" s="25" t="s">
        <v>112</v>
      </c>
      <c r="I64">
        <v>21.9329</v>
      </c>
      <c r="J64" s="1">
        <v>44403</v>
      </c>
      <c r="K64" t="s">
        <v>102</v>
      </c>
      <c r="L64">
        <v>5000</v>
      </c>
      <c r="M64">
        <v>0</v>
      </c>
      <c r="N64">
        <v>227.95699999999999</v>
      </c>
      <c r="O64" t="s">
        <v>103</v>
      </c>
      <c r="Q64" t="s">
        <v>113</v>
      </c>
    </row>
    <row r="65" spans="1:17">
      <c r="A65" t="s">
        <v>14</v>
      </c>
      <c r="B65" t="s">
        <v>15</v>
      </c>
      <c r="C65" s="1">
        <v>44404</v>
      </c>
      <c r="D65">
        <v>106758579</v>
      </c>
      <c r="E65" t="s">
        <v>92</v>
      </c>
      <c r="F65" t="s">
        <v>106</v>
      </c>
      <c r="G65" t="s">
        <v>107</v>
      </c>
      <c r="H65" s="25" t="s">
        <v>108</v>
      </c>
      <c r="I65">
        <v>28.31</v>
      </c>
      <c r="J65" s="1">
        <v>44404</v>
      </c>
      <c r="K65" t="s">
        <v>109</v>
      </c>
      <c r="L65">
        <v>993.73</v>
      </c>
      <c r="M65">
        <v>0</v>
      </c>
      <c r="N65">
        <v>35.1</v>
      </c>
      <c r="O65" t="s">
        <v>103</v>
      </c>
      <c r="Q65" t="s">
        <v>113</v>
      </c>
    </row>
    <row r="66" spans="1:17">
      <c r="A66" t="s">
        <v>14</v>
      </c>
      <c r="B66" t="s">
        <v>15</v>
      </c>
      <c r="C66" s="1">
        <v>44405</v>
      </c>
      <c r="D66">
        <v>106749963</v>
      </c>
      <c r="E66" t="s">
        <v>119</v>
      </c>
      <c r="F66" t="s">
        <v>106</v>
      </c>
      <c r="G66" t="s">
        <v>107</v>
      </c>
      <c r="H66" s="25" t="s">
        <v>108</v>
      </c>
      <c r="I66">
        <v>28.161000000000001</v>
      </c>
      <c r="J66" s="1">
        <v>44405</v>
      </c>
      <c r="K66" t="s">
        <v>109</v>
      </c>
      <c r="L66">
        <v>5000</v>
      </c>
      <c r="M66">
        <v>0</v>
      </c>
      <c r="N66">
        <v>177.542</v>
      </c>
      <c r="O66" t="s">
        <v>103</v>
      </c>
      <c r="Q66" t="s">
        <v>113</v>
      </c>
    </row>
    <row r="67" spans="1:17">
      <c r="A67" t="s">
        <v>14</v>
      </c>
      <c r="B67" t="s">
        <v>15</v>
      </c>
      <c r="C67" s="1">
        <v>44432</v>
      </c>
      <c r="D67">
        <v>107992649</v>
      </c>
      <c r="E67" t="s">
        <v>119</v>
      </c>
      <c r="F67" t="s">
        <v>110</v>
      </c>
      <c r="G67" t="s">
        <v>120</v>
      </c>
      <c r="H67" s="25" t="s">
        <v>112</v>
      </c>
      <c r="I67">
        <v>22.302099999999999</v>
      </c>
      <c r="J67" s="1">
        <v>44432</v>
      </c>
      <c r="K67" t="s">
        <v>102</v>
      </c>
      <c r="L67">
        <v>5000</v>
      </c>
      <c r="M67">
        <v>0</v>
      </c>
      <c r="N67">
        <v>224.18299999999999</v>
      </c>
      <c r="O67" t="s">
        <v>103</v>
      </c>
      <c r="Q67" t="s">
        <v>113</v>
      </c>
    </row>
    <row r="68" spans="1:17">
      <c r="A68" t="s">
        <v>14</v>
      </c>
      <c r="B68" t="s">
        <v>15</v>
      </c>
      <c r="C68" s="1">
        <v>44434</v>
      </c>
      <c r="D68">
        <v>108145546</v>
      </c>
      <c r="E68" t="s">
        <v>92</v>
      </c>
      <c r="F68" t="s">
        <v>106</v>
      </c>
      <c r="G68" t="s">
        <v>107</v>
      </c>
      <c r="H68" s="25" t="s">
        <v>108</v>
      </c>
      <c r="I68">
        <v>27.806000000000001</v>
      </c>
      <c r="J68" s="1">
        <v>44434</v>
      </c>
      <c r="K68" t="s">
        <v>109</v>
      </c>
      <c r="L68">
        <v>570.64</v>
      </c>
      <c r="M68">
        <v>0</v>
      </c>
      <c r="N68">
        <v>20.521000000000001</v>
      </c>
      <c r="O68" t="s">
        <v>103</v>
      </c>
      <c r="Q68" t="s">
        <v>113</v>
      </c>
    </row>
    <row r="69" spans="1:17">
      <c r="A69" t="s">
        <v>14</v>
      </c>
      <c r="B69" t="s">
        <v>15</v>
      </c>
      <c r="C69" s="1">
        <v>44436</v>
      </c>
      <c r="D69">
        <v>108186546</v>
      </c>
      <c r="E69" t="s">
        <v>119</v>
      </c>
      <c r="F69" t="s">
        <v>106</v>
      </c>
      <c r="G69" t="s">
        <v>107</v>
      </c>
      <c r="H69" s="25" t="s">
        <v>108</v>
      </c>
      <c r="I69">
        <v>28.274999999999999</v>
      </c>
      <c r="J69" s="1">
        <v>44438</v>
      </c>
      <c r="K69" t="s">
        <v>109</v>
      </c>
      <c r="L69">
        <v>5000</v>
      </c>
      <c r="M69">
        <v>0</v>
      </c>
      <c r="N69">
        <v>176.82599999999999</v>
      </c>
      <c r="O69" t="s">
        <v>103</v>
      </c>
      <c r="Q69" t="s">
        <v>113</v>
      </c>
    </row>
    <row r="70" spans="1:17">
      <c r="A70" t="s">
        <v>14</v>
      </c>
      <c r="B70" t="s">
        <v>15</v>
      </c>
      <c r="C70" s="1">
        <v>44463</v>
      </c>
      <c r="D70">
        <v>109464170</v>
      </c>
      <c r="E70" t="s">
        <v>119</v>
      </c>
      <c r="F70" t="s">
        <v>110</v>
      </c>
      <c r="G70" t="s">
        <v>120</v>
      </c>
      <c r="H70" s="25" t="s">
        <v>112</v>
      </c>
      <c r="I70">
        <v>23.578800000000001</v>
      </c>
      <c r="J70" s="1">
        <v>44463</v>
      </c>
      <c r="K70" t="s">
        <v>102</v>
      </c>
      <c r="L70">
        <v>5000</v>
      </c>
      <c r="M70">
        <v>0</v>
      </c>
      <c r="N70">
        <v>212.04400000000001</v>
      </c>
      <c r="O70" t="s">
        <v>103</v>
      </c>
      <c r="Q70" t="s">
        <v>113</v>
      </c>
    </row>
    <row r="71" spans="1:17">
      <c r="A71" t="s">
        <v>14</v>
      </c>
      <c r="B71" t="s">
        <v>15</v>
      </c>
      <c r="C71" s="1">
        <v>44467</v>
      </c>
      <c r="D71">
        <v>109660962</v>
      </c>
      <c r="E71" t="s">
        <v>119</v>
      </c>
      <c r="F71" t="s">
        <v>106</v>
      </c>
      <c r="G71" t="s">
        <v>107</v>
      </c>
      <c r="H71" s="25" t="s">
        <v>108</v>
      </c>
      <c r="I71">
        <v>29.306000000000001</v>
      </c>
      <c r="J71" s="1">
        <v>44467</v>
      </c>
      <c r="K71" t="s">
        <v>109</v>
      </c>
      <c r="L71">
        <v>5000</v>
      </c>
      <c r="M71">
        <v>0</v>
      </c>
      <c r="N71">
        <v>170.60499999999999</v>
      </c>
      <c r="O71" t="s">
        <v>103</v>
      </c>
      <c r="Q71" t="s">
        <v>113</v>
      </c>
    </row>
    <row r="72" spans="1:17">
      <c r="A72" t="s">
        <v>14</v>
      </c>
      <c r="B72" t="s">
        <v>15</v>
      </c>
      <c r="C72" s="1">
        <v>44467</v>
      </c>
      <c r="D72">
        <v>109696166</v>
      </c>
      <c r="E72" t="s">
        <v>92</v>
      </c>
      <c r="F72" t="s">
        <v>106</v>
      </c>
      <c r="G72" t="s">
        <v>107</v>
      </c>
      <c r="H72" s="25" t="s">
        <v>108</v>
      </c>
      <c r="I72">
        <v>29.068000000000001</v>
      </c>
      <c r="J72" s="1">
        <v>44467</v>
      </c>
      <c r="K72" t="s">
        <v>109</v>
      </c>
      <c r="L72">
        <v>979.03</v>
      </c>
      <c r="M72">
        <v>0</v>
      </c>
      <c r="N72">
        <v>33.679000000000002</v>
      </c>
      <c r="O72" t="s">
        <v>103</v>
      </c>
      <c r="Q72" t="s">
        <v>113</v>
      </c>
    </row>
    <row r="73" spans="1:17">
      <c r="A73" t="s">
        <v>14</v>
      </c>
      <c r="B73" t="s">
        <v>15</v>
      </c>
      <c r="C73" s="1">
        <v>44493</v>
      </c>
      <c r="D73">
        <v>110972311</v>
      </c>
      <c r="E73" t="s">
        <v>119</v>
      </c>
      <c r="F73" t="s">
        <v>110</v>
      </c>
      <c r="G73" t="s">
        <v>120</v>
      </c>
      <c r="H73" s="25" t="s">
        <v>112</v>
      </c>
      <c r="I73">
        <v>24.7363</v>
      </c>
      <c r="J73" s="1">
        <v>44494</v>
      </c>
      <c r="K73" t="s">
        <v>102</v>
      </c>
      <c r="L73">
        <v>5000</v>
      </c>
      <c r="M73">
        <v>0</v>
      </c>
      <c r="N73">
        <v>202.12200000000001</v>
      </c>
      <c r="O73" t="s">
        <v>103</v>
      </c>
      <c r="Q73" t="s">
        <v>113</v>
      </c>
    </row>
    <row r="74" spans="1:17">
      <c r="A74" t="s">
        <v>14</v>
      </c>
      <c r="B74" t="s">
        <v>15</v>
      </c>
      <c r="C74" s="1">
        <v>44495</v>
      </c>
      <c r="D74">
        <v>111118008</v>
      </c>
      <c r="E74" t="s">
        <v>92</v>
      </c>
      <c r="F74" t="s">
        <v>106</v>
      </c>
      <c r="G74" t="s">
        <v>107</v>
      </c>
      <c r="H74" s="25" t="s">
        <v>108</v>
      </c>
      <c r="I74">
        <v>30.065000000000001</v>
      </c>
      <c r="J74" s="1">
        <v>44495</v>
      </c>
      <c r="K74" t="s">
        <v>109</v>
      </c>
      <c r="L74">
        <v>1155.06</v>
      </c>
      <c r="M74">
        <v>0</v>
      </c>
      <c r="N74">
        <v>38.417000000000002</v>
      </c>
      <c r="O74" t="s">
        <v>103</v>
      </c>
      <c r="Q74" t="s">
        <v>113</v>
      </c>
    </row>
    <row r="75" spans="1:17">
      <c r="A75" t="s">
        <v>14</v>
      </c>
      <c r="B75" t="s">
        <v>15</v>
      </c>
      <c r="C75" s="1">
        <v>44497</v>
      </c>
      <c r="D75">
        <v>111163183</v>
      </c>
      <c r="E75" t="s">
        <v>119</v>
      </c>
      <c r="F75" t="s">
        <v>106</v>
      </c>
      <c r="G75" t="s">
        <v>107</v>
      </c>
      <c r="H75" s="25" t="s">
        <v>108</v>
      </c>
      <c r="I75">
        <v>29.689</v>
      </c>
      <c r="J75" s="1">
        <v>44497</v>
      </c>
      <c r="K75" t="s">
        <v>109</v>
      </c>
      <c r="L75">
        <v>5000</v>
      </c>
      <c r="M75">
        <v>0</v>
      </c>
      <c r="N75">
        <v>168.404</v>
      </c>
      <c r="O75" t="s">
        <v>103</v>
      </c>
      <c r="Q75" t="s">
        <v>113</v>
      </c>
    </row>
    <row r="76" spans="1:17">
      <c r="A76" t="s">
        <v>14</v>
      </c>
      <c r="B76" t="s">
        <v>15</v>
      </c>
      <c r="C76" s="1">
        <v>44524</v>
      </c>
      <c r="D76">
        <v>112491358</v>
      </c>
      <c r="E76" t="s">
        <v>119</v>
      </c>
      <c r="F76" t="s">
        <v>110</v>
      </c>
      <c r="G76" t="s">
        <v>120</v>
      </c>
      <c r="H76" s="25" t="s">
        <v>112</v>
      </c>
      <c r="I76">
        <v>24.398900000000001</v>
      </c>
      <c r="J76" s="1">
        <v>44524</v>
      </c>
      <c r="K76" t="s">
        <v>102</v>
      </c>
      <c r="L76">
        <v>5000</v>
      </c>
      <c r="M76">
        <v>0</v>
      </c>
      <c r="N76">
        <v>204.917</v>
      </c>
      <c r="O76" t="s">
        <v>103</v>
      </c>
      <c r="Q76" t="s">
        <v>113</v>
      </c>
    </row>
    <row r="77" spans="1:17">
      <c r="A77" t="s">
        <v>14</v>
      </c>
      <c r="B77" t="s">
        <v>15</v>
      </c>
      <c r="C77" s="1">
        <v>44526</v>
      </c>
      <c r="D77">
        <v>112661120</v>
      </c>
      <c r="E77" t="s">
        <v>92</v>
      </c>
      <c r="F77" t="s">
        <v>106</v>
      </c>
      <c r="G77" t="s">
        <v>107</v>
      </c>
      <c r="H77" s="25" t="s">
        <v>108</v>
      </c>
      <c r="I77">
        <v>29.202000000000002</v>
      </c>
      <c r="J77" s="1">
        <v>44526</v>
      </c>
      <c r="K77" t="s">
        <v>109</v>
      </c>
      <c r="L77">
        <v>1202.83</v>
      </c>
      <c r="M77">
        <v>0</v>
      </c>
      <c r="N77">
        <v>41.188000000000002</v>
      </c>
      <c r="O77" t="s">
        <v>103</v>
      </c>
      <c r="Q77" t="s">
        <v>113</v>
      </c>
    </row>
    <row r="78" spans="1:17">
      <c r="A78" t="s">
        <v>14</v>
      </c>
      <c r="B78" t="s">
        <v>15</v>
      </c>
      <c r="C78" s="1">
        <v>44528</v>
      </c>
      <c r="D78">
        <v>112698121</v>
      </c>
      <c r="E78" t="s">
        <v>119</v>
      </c>
      <c r="F78" t="s">
        <v>106</v>
      </c>
      <c r="G78" t="s">
        <v>107</v>
      </c>
      <c r="H78" s="25" t="s">
        <v>108</v>
      </c>
      <c r="I78">
        <v>28.414999999999999</v>
      </c>
      <c r="J78" s="1">
        <v>44529</v>
      </c>
      <c r="K78" t="s">
        <v>109</v>
      </c>
      <c r="L78">
        <v>5000</v>
      </c>
      <c r="M78">
        <v>0</v>
      </c>
      <c r="N78">
        <v>175.95500000000001</v>
      </c>
      <c r="O78" t="s">
        <v>103</v>
      </c>
      <c r="Q78" t="s">
        <v>113</v>
      </c>
    </row>
    <row r="79" spans="1:17">
      <c r="A79" t="s">
        <v>14</v>
      </c>
      <c r="B79" t="s">
        <v>15</v>
      </c>
      <c r="C79" s="1">
        <v>44553</v>
      </c>
      <c r="D79">
        <v>114163847</v>
      </c>
      <c r="E79" t="s">
        <v>99</v>
      </c>
      <c r="F79" t="s">
        <v>110</v>
      </c>
      <c r="G79" t="s">
        <v>111</v>
      </c>
      <c r="H79" s="25" t="s">
        <v>112</v>
      </c>
      <c r="I79">
        <v>161.13999999999999</v>
      </c>
      <c r="J79" s="1">
        <v>44553</v>
      </c>
      <c r="K79" t="s">
        <v>102</v>
      </c>
      <c r="L79">
        <v>30000</v>
      </c>
      <c r="M79">
        <v>0</v>
      </c>
      <c r="N79">
        <v>186.16399999999999</v>
      </c>
      <c r="O79" t="s">
        <v>103</v>
      </c>
      <c r="Q79" t="s">
        <v>105</v>
      </c>
    </row>
    <row r="80" spans="1:17">
      <c r="A80" t="s">
        <v>14</v>
      </c>
      <c r="B80" t="s">
        <v>15</v>
      </c>
      <c r="C80" s="1">
        <v>44554</v>
      </c>
      <c r="D80">
        <v>114187815</v>
      </c>
      <c r="E80" t="s">
        <v>119</v>
      </c>
      <c r="F80" t="s">
        <v>110</v>
      </c>
      <c r="G80" t="s">
        <v>120</v>
      </c>
      <c r="H80" s="25" t="s">
        <v>112</v>
      </c>
      <c r="I80">
        <v>23.279</v>
      </c>
      <c r="J80" s="1">
        <v>44554</v>
      </c>
      <c r="K80" t="s">
        <v>102</v>
      </c>
      <c r="L80">
        <v>5000</v>
      </c>
      <c r="M80">
        <v>0</v>
      </c>
      <c r="N80">
        <v>214.77500000000001</v>
      </c>
      <c r="O80" t="s">
        <v>103</v>
      </c>
      <c r="Q80" t="s">
        <v>113</v>
      </c>
    </row>
    <row r="81" spans="1:17">
      <c r="A81" t="s">
        <v>14</v>
      </c>
      <c r="B81" t="s">
        <v>15</v>
      </c>
      <c r="C81" s="1">
        <v>44558</v>
      </c>
      <c r="D81">
        <v>114383610</v>
      </c>
      <c r="E81" t="s">
        <v>119</v>
      </c>
      <c r="F81" t="s">
        <v>106</v>
      </c>
      <c r="G81" t="s">
        <v>107</v>
      </c>
      <c r="H81" s="25" t="s">
        <v>108</v>
      </c>
      <c r="I81">
        <v>28.303000000000001</v>
      </c>
      <c r="J81" s="1">
        <v>44558</v>
      </c>
      <c r="K81" t="s">
        <v>109</v>
      </c>
      <c r="L81">
        <v>5000</v>
      </c>
      <c r="M81">
        <v>0</v>
      </c>
      <c r="N81">
        <v>176.65100000000001</v>
      </c>
      <c r="O81" t="s">
        <v>103</v>
      </c>
      <c r="Q81" t="s">
        <v>113</v>
      </c>
    </row>
    <row r="82" spans="1:17">
      <c r="A82" t="s">
        <v>14</v>
      </c>
      <c r="B82" t="s">
        <v>15</v>
      </c>
      <c r="C82" s="1">
        <v>44558</v>
      </c>
      <c r="D82">
        <v>114415209</v>
      </c>
      <c r="E82" t="s">
        <v>92</v>
      </c>
      <c r="F82" t="s">
        <v>106</v>
      </c>
      <c r="G82" t="s">
        <v>107</v>
      </c>
      <c r="H82" s="25" t="s">
        <v>108</v>
      </c>
      <c r="I82">
        <v>28.091000000000001</v>
      </c>
      <c r="J82" s="1">
        <v>44558</v>
      </c>
      <c r="K82" t="s">
        <v>109</v>
      </c>
      <c r="L82">
        <v>1254.29</v>
      </c>
      <c r="M82">
        <v>0</v>
      </c>
      <c r="N82">
        <v>44.649000000000001</v>
      </c>
      <c r="O82" t="s">
        <v>103</v>
      </c>
      <c r="Q82" t="s">
        <v>113</v>
      </c>
    </row>
    <row r="83" spans="1:17">
      <c r="A83" t="s">
        <v>14</v>
      </c>
      <c r="B83" t="s">
        <v>15</v>
      </c>
      <c r="C83" s="1">
        <v>44585</v>
      </c>
      <c r="D83">
        <v>115766049</v>
      </c>
      <c r="E83" t="s">
        <v>119</v>
      </c>
      <c r="F83" t="s">
        <v>110</v>
      </c>
      <c r="G83" t="s">
        <v>120</v>
      </c>
      <c r="H83" s="25" t="s">
        <v>112</v>
      </c>
      <c r="I83">
        <v>24.040299999999998</v>
      </c>
      <c r="J83" s="1">
        <v>44585</v>
      </c>
      <c r="K83" t="s">
        <v>102</v>
      </c>
      <c r="L83">
        <v>5000</v>
      </c>
      <c r="M83">
        <v>0</v>
      </c>
      <c r="N83">
        <v>207.97399999999999</v>
      </c>
      <c r="O83" t="s">
        <v>103</v>
      </c>
      <c r="Q83" t="s">
        <v>113</v>
      </c>
    </row>
    <row r="84" spans="1:17">
      <c r="A84" t="s">
        <v>14</v>
      </c>
      <c r="B84" t="s">
        <v>15</v>
      </c>
      <c r="C84" s="1">
        <v>44587</v>
      </c>
      <c r="D84">
        <v>115955441</v>
      </c>
      <c r="E84" t="s">
        <v>92</v>
      </c>
      <c r="F84" t="s">
        <v>106</v>
      </c>
      <c r="G84" t="s">
        <v>107</v>
      </c>
      <c r="H84" s="25" t="s">
        <v>108</v>
      </c>
      <c r="I84">
        <v>28.965</v>
      </c>
      <c r="J84" s="1">
        <v>44587</v>
      </c>
      <c r="K84" t="s">
        <v>109</v>
      </c>
      <c r="L84">
        <v>1305.82</v>
      </c>
      <c r="M84">
        <v>0</v>
      </c>
      <c r="N84">
        <v>45.08</v>
      </c>
      <c r="O84" t="s">
        <v>103</v>
      </c>
      <c r="Q84" t="s">
        <v>113</v>
      </c>
    </row>
    <row r="85" spans="1:17">
      <c r="A85" t="s">
        <v>14</v>
      </c>
      <c r="B85" t="s">
        <v>15</v>
      </c>
      <c r="C85" s="1">
        <v>44589</v>
      </c>
      <c r="D85">
        <v>116007792</v>
      </c>
      <c r="E85" t="s">
        <v>119</v>
      </c>
      <c r="F85" t="s">
        <v>106</v>
      </c>
      <c r="G85" t="s">
        <v>107</v>
      </c>
      <c r="H85" s="25" t="s">
        <v>108</v>
      </c>
      <c r="I85">
        <v>29.106000000000002</v>
      </c>
      <c r="J85" s="1">
        <v>44589</v>
      </c>
      <c r="K85" t="s">
        <v>109</v>
      </c>
      <c r="L85">
        <v>5000</v>
      </c>
      <c r="M85">
        <v>0</v>
      </c>
      <c r="N85">
        <v>171.77699999999999</v>
      </c>
      <c r="O85" t="s">
        <v>103</v>
      </c>
      <c r="Q85" t="s">
        <v>113</v>
      </c>
    </row>
    <row r="86" spans="1:17">
      <c r="A86" t="s">
        <v>14</v>
      </c>
      <c r="B86" t="s">
        <v>15</v>
      </c>
      <c r="C86" s="1">
        <v>44616</v>
      </c>
      <c r="D86">
        <v>117385427</v>
      </c>
      <c r="E86" t="s">
        <v>119</v>
      </c>
      <c r="F86" t="s">
        <v>110</v>
      </c>
      <c r="G86" t="s">
        <v>120</v>
      </c>
      <c r="H86" s="25" t="s">
        <v>112</v>
      </c>
      <c r="I86">
        <v>23.509</v>
      </c>
      <c r="J86" s="1">
        <v>44616</v>
      </c>
      <c r="K86" t="s">
        <v>102</v>
      </c>
      <c r="L86">
        <v>5000</v>
      </c>
      <c r="M86">
        <v>0</v>
      </c>
      <c r="N86">
        <v>212.67400000000001</v>
      </c>
      <c r="O86" t="s">
        <v>103</v>
      </c>
      <c r="Q86" t="s">
        <v>113</v>
      </c>
    </row>
    <row r="87" spans="1:17">
      <c r="A87" t="s">
        <v>14</v>
      </c>
      <c r="B87" t="s">
        <v>15</v>
      </c>
      <c r="C87" s="1">
        <v>44618</v>
      </c>
      <c r="D87">
        <v>117598830</v>
      </c>
      <c r="E87" t="s">
        <v>92</v>
      </c>
      <c r="F87" t="s">
        <v>106</v>
      </c>
      <c r="G87" t="s">
        <v>107</v>
      </c>
      <c r="H87" s="25" t="s">
        <v>108</v>
      </c>
      <c r="I87">
        <v>27.949000000000002</v>
      </c>
      <c r="J87" s="1">
        <v>44618</v>
      </c>
      <c r="K87" t="s">
        <v>109</v>
      </c>
      <c r="L87">
        <v>1356.21</v>
      </c>
      <c r="M87">
        <v>0</v>
      </c>
      <c r="N87">
        <v>48.521999999999998</v>
      </c>
      <c r="O87" t="s">
        <v>103</v>
      </c>
      <c r="Q87" t="s">
        <v>113</v>
      </c>
    </row>
    <row r="88" spans="1:17">
      <c r="A88" t="s">
        <v>14</v>
      </c>
      <c r="B88" t="s">
        <v>15</v>
      </c>
      <c r="C88" s="1">
        <v>44620</v>
      </c>
      <c r="D88">
        <v>117588527</v>
      </c>
      <c r="E88" t="s">
        <v>119</v>
      </c>
      <c r="F88" t="s">
        <v>106</v>
      </c>
      <c r="G88" t="s">
        <v>107</v>
      </c>
      <c r="H88" s="25" t="s">
        <v>108</v>
      </c>
      <c r="I88">
        <v>28.187000000000001</v>
      </c>
      <c r="J88" s="1">
        <v>44620</v>
      </c>
      <c r="K88" t="s">
        <v>109</v>
      </c>
      <c r="L88">
        <v>5000</v>
      </c>
      <c r="M88">
        <v>0</v>
      </c>
      <c r="N88">
        <v>177.37799999999999</v>
      </c>
      <c r="O88" t="s">
        <v>103</v>
      </c>
      <c r="Q88" t="s">
        <v>113</v>
      </c>
    </row>
    <row r="89" spans="1:17">
      <c r="A89" t="s">
        <v>14</v>
      </c>
      <c r="B89" t="s">
        <v>15</v>
      </c>
      <c r="C89" s="1">
        <v>44644</v>
      </c>
      <c r="D89">
        <v>119034564</v>
      </c>
      <c r="E89" t="s">
        <v>119</v>
      </c>
      <c r="F89" t="s">
        <v>110</v>
      </c>
      <c r="G89" t="s">
        <v>120</v>
      </c>
      <c r="H89" s="25" t="s">
        <v>112</v>
      </c>
      <c r="I89">
        <v>24.431000000000001</v>
      </c>
      <c r="J89" s="1">
        <v>44644</v>
      </c>
      <c r="K89" t="s">
        <v>102</v>
      </c>
      <c r="L89">
        <v>5000</v>
      </c>
      <c r="M89">
        <v>0</v>
      </c>
      <c r="N89">
        <v>204.648</v>
      </c>
      <c r="O89" t="s">
        <v>103</v>
      </c>
      <c r="Q89" t="s">
        <v>113</v>
      </c>
    </row>
    <row r="90" spans="1:17">
      <c r="A90" t="s">
        <v>14</v>
      </c>
      <c r="B90" t="s">
        <v>15</v>
      </c>
      <c r="C90" s="1">
        <v>44646</v>
      </c>
      <c r="D90">
        <v>124705374</v>
      </c>
      <c r="E90" t="s">
        <v>92</v>
      </c>
      <c r="F90" t="s">
        <v>106</v>
      </c>
      <c r="G90" t="s">
        <v>107</v>
      </c>
      <c r="H90" s="25" t="s">
        <v>108</v>
      </c>
      <c r="I90">
        <v>28.556000000000001</v>
      </c>
      <c r="J90" s="1">
        <v>44646</v>
      </c>
      <c r="K90" t="s">
        <v>109</v>
      </c>
      <c r="L90">
        <v>1408.94</v>
      </c>
      <c r="M90">
        <v>0</v>
      </c>
      <c r="N90">
        <v>49.337000000000003</v>
      </c>
      <c r="O90" t="s">
        <v>103</v>
      </c>
      <c r="Q90" t="s">
        <v>113</v>
      </c>
    </row>
    <row r="91" spans="1:17">
      <c r="A91" t="s">
        <v>14</v>
      </c>
      <c r="B91" t="s">
        <v>15</v>
      </c>
      <c r="C91" s="1">
        <v>44648</v>
      </c>
      <c r="D91">
        <v>119221252</v>
      </c>
      <c r="E91" t="s">
        <v>119</v>
      </c>
      <c r="F91" t="s">
        <v>106</v>
      </c>
      <c r="G91" t="s">
        <v>107</v>
      </c>
      <c r="H91" s="25" t="s">
        <v>108</v>
      </c>
      <c r="I91">
        <v>28.681000000000001</v>
      </c>
      <c r="J91" s="1">
        <v>44648</v>
      </c>
      <c r="K91" t="s">
        <v>109</v>
      </c>
      <c r="L91">
        <v>5000</v>
      </c>
      <c r="M91">
        <v>0</v>
      </c>
      <c r="N91">
        <v>174.32300000000001</v>
      </c>
      <c r="O91" t="s">
        <v>103</v>
      </c>
      <c r="Q91" t="s">
        <v>113</v>
      </c>
    </row>
    <row r="92" spans="1:17">
      <c r="A92" t="s">
        <v>14</v>
      </c>
      <c r="B92" t="s">
        <v>15</v>
      </c>
      <c r="C92" s="1">
        <v>44675</v>
      </c>
      <c r="D92">
        <v>120664366</v>
      </c>
      <c r="E92" t="s">
        <v>119</v>
      </c>
      <c r="F92" t="s">
        <v>110</v>
      </c>
      <c r="G92" t="s">
        <v>120</v>
      </c>
      <c r="H92" s="25" t="s">
        <v>112</v>
      </c>
      <c r="I92">
        <v>24.711600000000001</v>
      </c>
      <c r="J92" s="1">
        <v>44676</v>
      </c>
      <c r="K92" t="s">
        <v>102</v>
      </c>
      <c r="L92">
        <v>5000</v>
      </c>
      <c r="M92">
        <v>0</v>
      </c>
      <c r="N92">
        <v>202.32400000000001</v>
      </c>
      <c r="O92" t="s">
        <v>103</v>
      </c>
      <c r="Q92" t="s">
        <v>113</v>
      </c>
    </row>
    <row r="93" spans="1:17">
      <c r="A93" t="s">
        <v>14</v>
      </c>
      <c r="B93" t="s">
        <v>15</v>
      </c>
      <c r="C93" s="1">
        <v>44677</v>
      </c>
      <c r="D93">
        <v>120818658</v>
      </c>
      <c r="E93" t="s">
        <v>92</v>
      </c>
      <c r="F93" t="s">
        <v>106</v>
      </c>
      <c r="G93" t="s">
        <v>107</v>
      </c>
      <c r="H93" s="25" t="s">
        <v>108</v>
      </c>
      <c r="I93">
        <v>29.009</v>
      </c>
      <c r="J93" s="1">
        <v>44677</v>
      </c>
      <c r="K93" t="s">
        <v>109</v>
      </c>
      <c r="L93">
        <v>1624.09</v>
      </c>
      <c r="M93">
        <v>0</v>
      </c>
      <c r="N93">
        <v>55.982999999999997</v>
      </c>
      <c r="O93" t="s">
        <v>103</v>
      </c>
      <c r="Q93" t="s">
        <v>113</v>
      </c>
    </row>
    <row r="94" spans="1:17">
      <c r="A94" t="s">
        <v>14</v>
      </c>
      <c r="B94" t="s">
        <v>15</v>
      </c>
      <c r="C94" s="1">
        <v>44679</v>
      </c>
      <c r="D94">
        <v>120868163</v>
      </c>
      <c r="E94" t="s">
        <v>119</v>
      </c>
      <c r="F94" t="s">
        <v>106</v>
      </c>
      <c r="G94" t="s">
        <v>107</v>
      </c>
      <c r="H94" s="25" t="s">
        <v>108</v>
      </c>
      <c r="I94">
        <v>29.256</v>
      </c>
      <c r="J94" s="1">
        <v>44679</v>
      </c>
      <c r="K94" t="s">
        <v>109</v>
      </c>
      <c r="L94">
        <v>5000</v>
      </c>
      <c r="M94">
        <v>0</v>
      </c>
      <c r="N94">
        <v>170.89699999999999</v>
      </c>
      <c r="O94" t="s">
        <v>103</v>
      </c>
      <c r="Q94" t="s">
        <v>113</v>
      </c>
    </row>
    <row r="95" spans="1:17">
      <c r="A95" t="s">
        <v>14</v>
      </c>
      <c r="B95" t="s">
        <v>15</v>
      </c>
      <c r="C95" s="1">
        <v>44705</v>
      </c>
      <c r="D95">
        <v>122443115</v>
      </c>
      <c r="E95" t="s">
        <v>119</v>
      </c>
      <c r="F95" t="s">
        <v>110</v>
      </c>
      <c r="G95" t="s">
        <v>120</v>
      </c>
      <c r="H95" s="25" t="s">
        <v>112</v>
      </c>
      <c r="I95">
        <v>23.705200000000001</v>
      </c>
      <c r="J95" s="1">
        <v>44705</v>
      </c>
      <c r="K95" t="s">
        <v>102</v>
      </c>
      <c r="L95">
        <v>5000</v>
      </c>
      <c r="M95">
        <v>0</v>
      </c>
      <c r="N95">
        <v>210.91399999999999</v>
      </c>
      <c r="O95" t="s">
        <v>103</v>
      </c>
      <c r="Q95" t="s">
        <v>113</v>
      </c>
    </row>
    <row r="96" spans="1:17">
      <c r="A96" t="s">
        <v>14</v>
      </c>
      <c r="B96" t="s">
        <v>15</v>
      </c>
      <c r="C96" s="1">
        <v>44707</v>
      </c>
      <c r="D96">
        <v>122605928</v>
      </c>
      <c r="E96" t="s">
        <v>92</v>
      </c>
      <c r="F96" t="s">
        <v>106</v>
      </c>
      <c r="G96" t="s">
        <v>107</v>
      </c>
      <c r="H96" s="25" t="s">
        <v>108</v>
      </c>
      <c r="I96">
        <v>27.681000000000001</v>
      </c>
      <c r="J96" s="1">
        <v>44707</v>
      </c>
      <c r="K96" t="s">
        <v>109</v>
      </c>
      <c r="L96">
        <v>1683.08</v>
      </c>
      <c r="M96">
        <v>0</v>
      </c>
      <c r="N96">
        <v>60.8</v>
      </c>
      <c r="O96" t="s">
        <v>103</v>
      </c>
      <c r="Q96" t="s">
        <v>113</v>
      </c>
    </row>
    <row r="97" spans="1:17">
      <c r="A97" t="s">
        <v>14</v>
      </c>
      <c r="B97" t="s">
        <v>15</v>
      </c>
      <c r="C97" s="1">
        <v>44709</v>
      </c>
      <c r="D97">
        <v>122648555</v>
      </c>
      <c r="E97" t="s">
        <v>119</v>
      </c>
      <c r="F97" t="s">
        <v>106</v>
      </c>
      <c r="G97" t="s">
        <v>107</v>
      </c>
      <c r="H97" s="25" t="s">
        <v>108</v>
      </c>
      <c r="I97">
        <v>28.302</v>
      </c>
      <c r="J97" s="1">
        <v>44711</v>
      </c>
      <c r="K97" t="s">
        <v>109</v>
      </c>
      <c r="L97">
        <v>5000</v>
      </c>
      <c r="M97">
        <v>0</v>
      </c>
      <c r="N97">
        <v>176.65700000000001</v>
      </c>
      <c r="O97" t="s">
        <v>103</v>
      </c>
      <c r="Q97" t="s">
        <v>113</v>
      </c>
    </row>
    <row r="98" spans="1:17">
      <c r="A98" t="s">
        <v>14</v>
      </c>
      <c r="B98" t="s">
        <v>15</v>
      </c>
      <c r="C98" s="1">
        <v>44736</v>
      </c>
      <c r="D98">
        <v>124002659</v>
      </c>
      <c r="E98" t="s">
        <v>119</v>
      </c>
      <c r="F98" t="s">
        <v>110</v>
      </c>
      <c r="G98" t="s">
        <v>120</v>
      </c>
      <c r="H98" s="25" t="s">
        <v>112</v>
      </c>
      <c r="I98">
        <v>22.995200000000001</v>
      </c>
      <c r="J98" s="1">
        <v>44736</v>
      </c>
      <c r="K98" t="s">
        <v>102</v>
      </c>
      <c r="L98">
        <v>5000</v>
      </c>
      <c r="M98">
        <v>0</v>
      </c>
      <c r="N98">
        <v>217.42599999999999</v>
      </c>
      <c r="O98" t="s">
        <v>103</v>
      </c>
      <c r="Q98" t="s">
        <v>113</v>
      </c>
    </row>
    <row r="99" spans="1:17">
      <c r="A99" t="s">
        <v>14</v>
      </c>
      <c r="B99" t="s">
        <v>15</v>
      </c>
      <c r="C99" s="1">
        <v>44740</v>
      </c>
      <c r="D99">
        <v>124243461</v>
      </c>
      <c r="E99" t="s">
        <v>92</v>
      </c>
      <c r="F99" t="s">
        <v>106</v>
      </c>
      <c r="G99" t="s">
        <v>107</v>
      </c>
      <c r="H99" s="25" t="s">
        <v>108</v>
      </c>
      <c r="I99">
        <v>27.326000000000001</v>
      </c>
      <c r="J99" s="1">
        <v>44740</v>
      </c>
      <c r="K99" t="s">
        <v>109</v>
      </c>
      <c r="L99">
        <v>1240.82</v>
      </c>
      <c r="M99">
        <v>0</v>
      </c>
      <c r="N99">
        <v>45.405999999999999</v>
      </c>
      <c r="O99" t="s">
        <v>103</v>
      </c>
      <c r="Q99" t="s">
        <v>113</v>
      </c>
    </row>
    <row r="100" spans="1:17">
      <c r="A100" t="s">
        <v>14</v>
      </c>
      <c r="B100" t="s">
        <v>15</v>
      </c>
      <c r="C100" s="1">
        <v>44740</v>
      </c>
      <c r="D100">
        <v>124207486</v>
      </c>
      <c r="E100" t="s">
        <v>119</v>
      </c>
      <c r="F100" t="s">
        <v>106</v>
      </c>
      <c r="G100" t="s">
        <v>107</v>
      </c>
      <c r="H100" s="25" t="s">
        <v>108</v>
      </c>
      <c r="I100">
        <v>27.396999999999998</v>
      </c>
      <c r="J100" s="1">
        <v>44740</v>
      </c>
      <c r="K100" t="s">
        <v>109</v>
      </c>
      <c r="L100">
        <v>5000</v>
      </c>
      <c r="M100">
        <v>0</v>
      </c>
      <c r="N100">
        <v>182.49299999999999</v>
      </c>
      <c r="O100" t="s">
        <v>103</v>
      </c>
      <c r="Q100" t="s">
        <v>113</v>
      </c>
    </row>
    <row r="101" spans="1:17">
      <c r="A101" t="s">
        <v>14</v>
      </c>
      <c r="B101" t="s">
        <v>15</v>
      </c>
      <c r="C101" s="1">
        <v>44766</v>
      </c>
      <c r="D101">
        <v>125571332</v>
      </c>
      <c r="E101" t="s">
        <v>119</v>
      </c>
      <c r="F101" t="s">
        <v>110</v>
      </c>
      <c r="G101" t="s">
        <v>120</v>
      </c>
      <c r="H101" s="25" t="s">
        <v>112</v>
      </c>
      <c r="I101">
        <v>23.780999999999999</v>
      </c>
      <c r="J101" s="1">
        <v>44767</v>
      </c>
      <c r="K101" t="s">
        <v>102</v>
      </c>
      <c r="L101">
        <v>5000</v>
      </c>
      <c r="M101">
        <v>0</v>
      </c>
      <c r="N101">
        <v>210.24100000000001</v>
      </c>
      <c r="O101" t="s">
        <v>103</v>
      </c>
      <c r="Q101" t="s">
        <v>113</v>
      </c>
    </row>
    <row r="102" spans="1:17">
      <c r="A102" t="s">
        <v>14</v>
      </c>
      <c r="B102" t="s">
        <v>15</v>
      </c>
      <c r="C102" s="1">
        <v>44768</v>
      </c>
      <c r="D102">
        <v>125731600</v>
      </c>
      <c r="E102" t="s">
        <v>92</v>
      </c>
      <c r="F102" t="s">
        <v>106</v>
      </c>
      <c r="G102" t="s">
        <v>107</v>
      </c>
      <c r="H102" s="25" t="s">
        <v>108</v>
      </c>
      <c r="I102">
        <v>28.448</v>
      </c>
      <c r="J102" s="1">
        <v>44768</v>
      </c>
      <c r="K102" t="s">
        <v>109</v>
      </c>
      <c r="L102">
        <v>1624.07</v>
      </c>
      <c r="M102">
        <v>0</v>
      </c>
      <c r="N102">
        <v>57.085999999999999</v>
      </c>
      <c r="O102" t="s">
        <v>103</v>
      </c>
      <c r="Q102" t="s">
        <v>113</v>
      </c>
    </row>
    <row r="103" spans="1:17">
      <c r="A103" t="s">
        <v>14</v>
      </c>
      <c r="B103" t="s">
        <v>15</v>
      </c>
      <c r="C103" s="1">
        <v>44770</v>
      </c>
      <c r="D103">
        <v>125765136</v>
      </c>
      <c r="E103" t="s">
        <v>119</v>
      </c>
      <c r="F103" t="s">
        <v>106</v>
      </c>
      <c r="G103" t="s">
        <v>107</v>
      </c>
      <c r="H103" s="25" t="s">
        <v>108</v>
      </c>
      <c r="I103">
        <v>28.699000000000002</v>
      </c>
      <c r="J103" s="1">
        <v>44770</v>
      </c>
      <c r="K103" t="s">
        <v>109</v>
      </c>
      <c r="L103">
        <v>5000</v>
      </c>
      <c r="M103">
        <v>0</v>
      </c>
      <c r="N103">
        <v>174.21299999999999</v>
      </c>
      <c r="O103" t="s">
        <v>103</v>
      </c>
      <c r="Q103" t="s">
        <v>113</v>
      </c>
    </row>
    <row r="104" spans="1:17">
      <c r="A104" t="s">
        <v>14</v>
      </c>
      <c r="B104" t="s">
        <v>15</v>
      </c>
      <c r="C104" s="1">
        <v>44797</v>
      </c>
      <c r="D104">
        <v>127537213</v>
      </c>
      <c r="E104" t="s">
        <v>119</v>
      </c>
      <c r="F104" t="s">
        <v>110</v>
      </c>
      <c r="G104" t="s">
        <v>120</v>
      </c>
      <c r="H104" s="25" t="s">
        <v>112</v>
      </c>
      <c r="I104">
        <v>24.674299999999999</v>
      </c>
      <c r="J104" s="1">
        <v>44797</v>
      </c>
      <c r="K104" t="s">
        <v>102</v>
      </c>
      <c r="L104">
        <v>5000</v>
      </c>
      <c r="M104">
        <v>0</v>
      </c>
      <c r="N104">
        <v>202.63</v>
      </c>
      <c r="O104" t="s">
        <v>103</v>
      </c>
      <c r="Q104" t="s">
        <v>113</v>
      </c>
    </row>
    <row r="105" spans="1:17">
      <c r="A105" t="s">
        <v>14</v>
      </c>
      <c r="B105" t="s">
        <v>15</v>
      </c>
      <c r="C105" s="1">
        <v>44799</v>
      </c>
      <c r="D105">
        <v>127833956</v>
      </c>
      <c r="E105" t="s">
        <v>92</v>
      </c>
      <c r="F105" t="s">
        <v>106</v>
      </c>
      <c r="G105" t="s">
        <v>107</v>
      </c>
      <c r="H105" s="25" t="s">
        <v>108</v>
      </c>
      <c r="I105">
        <v>29.463000000000001</v>
      </c>
      <c r="J105" s="1">
        <v>44799</v>
      </c>
      <c r="K105" t="s">
        <v>109</v>
      </c>
      <c r="L105">
        <v>1678.21</v>
      </c>
      <c r="M105">
        <v>0</v>
      </c>
      <c r="N105">
        <v>56.957000000000001</v>
      </c>
      <c r="O105" t="s">
        <v>103</v>
      </c>
      <c r="Q105" t="s">
        <v>113</v>
      </c>
    </row>
    <row r="106" spans="1:17">
      <c r="A106" t="s">
        <v>14</v>
      </c>
      <c r="B106" t="s">
        <v>15</v>
      </c>
      <c r="C106" s="1">
        <v>44801</v>
      </c>
      <c r="D106">
        <v>127881360</v>
      </c>
      <c r="E106" t="s">
        <v>119</v>
      </c>
      <c r="F106" t="s">
        <v>106</v>
      </c>
      <c r="G106" t="s">
        <v>107</v>
      </c>
      <c r="H106" s="25" t="s">
        <v>108</v>
      </c>
      <c r="I106">
        <v>29.379000000000001</v>
      </c>
      <c r="J106" s="1">
        <v>44802</v>
      </c>
      <c r="K106" t="s">
        <v>109</v>
      </c>
      <c r="L106">
        <v>5000</v>
      </c>
      <c r="M106">
        <v>0</v>
      </c>
      <c r="N106">
        <v>170.18100000000001</v>
      </c>
      <c r="O106" t="s">
        <v>103</v>
      </c>
      <c r="Q106" t="s">
        <v>113</v>
      </c>
    </row>
    <row r="107" spans="1:17">
      <c r="A107" t="s">
        <v>14</v>
      </c>
      <c r="B107" t="s">
        <v>15</v>
      </c>
      <c r="C107" s="1">
        <v>44828</v>
      </c>
      <c r="D107">
        <v>130570766</v>
      </c>
      <c r="E107" t="s">
        <v>119</v>
      </c>
      <c r="F107" t="s">
        <v>110</v>
      </c>
      <c r="G107" t="s">
        <v>120</v>
      </c>
      <c r="H107" s="25" t="s">
        <v>112</v>
      </c>
      <c r="I107">
        <v>24.0367</v>
      </c>
      <c r="J107" s="1">
        <v>44830</v>
      </c>
      <c r="K107" t="s">
        <v>102</v>
      </c>
      <c r="L107">
        <v>5000</v>
      </c>
      <c r="M107">
        <v>0</v>
      </c>
      <c r="N107">
        <v>208.005</v>
      </c>
      <c r="O107" t="s">
        <v>103</v>
      </c>
      <c r="Q107" t="s">
        <v>113</v>
      </c>
    </row>
    <row r="108" spans="1:17">
      <c r="A108" t="s">
        <v>14</v>
      </c>
      <c r="B108" t="s">
        <v>15</v>
      </c>
      <c r="C108" s="1">
        <v>44831</v>
      </c>
      <c r="D108">
        <v>130930191</v>
      </c>
      <c r="E108" t="s">
        <v>92</v>
      </c>
      <c r="F108" t="s">
        <v>106</v>
      </c>
      <c r="G108" t="s">
        <v>107</v>
      </c>
      <c r="H108" s="25" t="s">
        <v>108</v>
      </c>
      <c r="I108">
        <v>28.853000000000002</v>
      </c>
      <c r="J108" s="1">
        <v>44831</v>
      </c>
      <c r="K108" t="s">
        <v>109</v>
      </c>
      <c r="L108">
        <v>1731.27</v>
      </c>
      <c r="M108">
        <v>0</v>
      </c>
      <c r="N108">
        <v>60</v>
      </c>
      <c r="O108" t="s">
        <v>103</v>
      </c>
      <c r="Q108" t="s">
        <v>113</v>
      </c>
    </row>
    <row r="109" spans="1:17">
      <c r="A109" t="s">
        <v>14</v>
      </c>
      <c r="B109" t="s">
        <v>15</v>
      </c>
      <c r="C109" s="1">
        <v>44832</v>
      </c>
      <c r="D109">
        <v>130898897</v>
      </c>
      <c r="E109" t="s">
        <v>119</v>
      </c>
      <c r="F109" t="s">
        <v>106</v>
      </c>
      <c r="G109" t="s">
        <v>107</v>
      </c>
      <c r="H109" s="25" t="s">
        <v>108</v>
      </c>
      <c r="I109">
        <v>28.652000000000001</v>
      </c>
      <c r="J109" s="1">
        <v>44832</v>
      </c>
      <c r="K109" t="s">
        <v>109</v>
      </c>
      <c r="L109">
        <v>5000</v>
      </c>
      <c r="M109">
        <v>0</v>
      </c>
      <c r="N109">
        <v>174.499</v>
      </c>
      <c r="O109" t="s">
        <v>103</v>
      </c>
      <c r="Q109" t="s">
        <v>113</v>
      </c>
    </row>
    <row r="110" spans="1:17">
      <c r="A110" t="s">
        <v>14</v>
      </c>
      <c r="B110" t="s">
        <v>15</v>
      </c>
      <c r="C110" s="1">
        <v>44858</v>
      </c>
      <c r="D110">
        <v>133755152</v>
      </c>
      <c r="E110" t="s">
        <v>119</v>
      </c>
      <c r="F110" t="s">
        <v>110</v>
      </c>
      <c r="G110" t="s">
        <v>120</v>
      </c>
      <c r="H110" s="25" t="s">
        <v>112</v>
      </c>
      <c r="I110">
        <v>24.939499999999999</v>
      </c>
      <c r="J110" s="1">
        <v>44859</v>
      </c>
      <c r="K110" t="s">
        <v>102</v>
      </c>
      <c r="L110">
        <v>5000</v>
      </c>
      <c r="M110">
        <v>0</v>
      </c>
      <c r="N110">
        <v>200.47499999999999</v>
      </c>
      <c r="O110" t="s">
        <v>103</v>
      </c>
      <c r="Q110" t="s">
        <v>113</v>
      </c>
    </row>
    <row r="111" spans="1:17">
      <c r="A111" t="s">
        <v>14</v>
      </c>
      <c r="B111" t="s">
        <v>15</v>
      </c>
      <c r="C111" s="1">
        <v>44860</v>
      </c>
      <c r="D111">
        <v>133914195</v>
      </c>
      <c r="E111" t="s">
        <v>92</v>
      </c>
      <c r="F111" t="s">
        <v>106</v>
      </c>
      <c r="G111" t="s">
        <v>107</v>
      </c>
      <c r="H111" s="25" t="s">
        <v>108</v>
      </c>
      <c r="I111">
        <v>29.751000000000001</v>
      </c>
      <c r="J111" s="1">
        <v>44860</v>
      </c>
      <c r="K111" t="s">
        <v>109</v>
      </c>
      <c r="L111">
        <v>1786.24</v>
      </c>
      <c r="M111">
        <v>0</v>
      </c>
      <c r="N111">
        <v>60.036999999999999</v>
      </c>
      <c r="O111" t="s">
        <v>103</v>
      </c>
      <c r="Q111" t="s">
        <v>113</v>
      </c>
    </row>
    <row r="112" spans="1:17">
      <c r="A112" t="s">
        <v>14</v>
      </c>
      <c r="B112" t="s">
        <v>15</v>
      </c>
      <c r="C112" s="1">
        <v>44862</v>
      </c>
      <c r="D112">
        <v>133977810</v>
      </c>
      <c r="E112" t="s">
        <v>119</v>
      </c>
      <c r="F112" t="s">
        <v>106</v>
      </c>
      <c r="G112" t="s">
        <v>107</v>
      </c>
      <c r="H112" s="25" t="s">
        <v>108</v>
      </c>
      <c r="I112">
        <v>29.904</v>
      </c>
      <c r="J112" s="1">
        <v>44862</v>
      </c>
      <c r="K112" t="s">
        <v>109</v>
      </c>
      <c r="L112">
        <v>5000</v>
      </c>
      <c r="M112">
        <v>0</v>
      </c>
      <c r="N112">
        <v>167.19300000000001</v>
      </c>
      <c r="O112" t="s">
        <v>103</v>
      </c>
      <c r="Q112" t="s">
        <v>113</v>
      </c>
    </row>
    <row r="113" spans="1:17">
      <c r="A113" t="s">
        <v>14</v>
      </c>
      <c r="B113" t="s">
        <v>15</v>
      </c>
      <c r="C113" s="1">
        <v>44889</v>
      </c>
      <c r="D113">
        <v>135771583</v>
      </c>
      <c r="E113" t="s">
        <v>119</v>
      </c>
      <c r="F113" t="s">
        <v>110</v>
      </c>
      <c r="G113" t="s">
        <v>120</v>
      </c>
      <c r="H113" s="25" t="s">
        <v>112</v>
      </c>
      <c r="I113">
        <v>25.561399999999999</v>
      </c>
      <c r="J113" s="1">
        <v>44889</v>
      </c>
      <c r="K113" t="s">
        <v>102</v>
      </c>
      <c r="L113">
        <v>5000</v>
      </c>
      <c r="M113">
        <v>0</v>
      </c>
      <c r="N113">
        <v>195.59800000000001</v>
      </c>
      <c r="O113" t="s">
        <v>103</v>
      </c>
      <c r="Q113" t="s">
        <v>113</v>
      </c>
    </row>
    <row r="114" spans="1:17">
      <c r="A114" t="s">
        <v>14</v>
      </c>
      <c r="B114" t="s">
        <v>15</v>
      </c>
      <c r="C114" s="1">
        <v>44891</v>
      </c>
      <c r="D114">
        <v>136060543</v>
      </c>
      <c r="E114" t="s">
        <v>92</v>
      </c>
      <c r="F114" t="s">
        <v>106</v>
      </c>
      <c r="G114" t="s">
        <v>107</v>
      </c>
      <c r="H114" s="25" t="s">
        <v>108</v>
      </c>
      <c r="I114">
        <v>30.617999999999999</v>
      </c>
      <c r="J114" s="1">
        <v>44891</v>
      </c>
      <c r="K114" t="s">
        <v>109</v>
      </c>
      <c r="L114">
        <v>1839.32</v>
      </c>
      <c r="M114">
        <v>0</v>
      </c>
      <c r="N114">
        <v>60.07</v>
      </c>
      <c r="O114" t="s">
        <v>103</v>
      </c>
      <c r="Q114" t="s">
        <v>113</v>
      </c>
    </row>
    <row r="115" spans="1:17">
      <c r="A115" t="s">
        <v>14</v>
      </c>
      <c r="B115" t="s">
        <v>15</v>
      </c>
      <c r="C115" s="1">
        <v>44893</v>
      </c>
      <c r="D115">
        <v>136003531</v>
      </c>
      <c r="E115" t="s">
        <v>119</v>
      </c>
      <c r="F115" t="s">
        <v>106</v>
      </c>
      <c r="G115" t="s">
        <v>107</v>
      </c>
      <c r="H115" s="25" t="s">
        <v>108</v>
      </c>
      <c r="I115">
        <v>30.722000000000001</v>
      </c>
      <c r="J115" s="1">
        <v>44893</v>
      </c>
      <c r="K115" t="s">
        <v>109</v>
      </c>
      <c r="L115">
        <v>5000</v>
      </c>
      <c r="M115">
        <v>0</v>
      </c>
      <c r="N115">
        <v>162.74199999999999</v>
      </c>
      <c r="O115" t="s">
        <v>103</v>
      </c>
      <c r="Q115" t="s">
        <v>113</v>
      </c>
    </row>
    <row r="116" spans="1:17">
      <c r="A116" t="s">
        <v>14</v>
      </c>
      <c r="B116" t="s">
        <v>15</v>
      </c>
      <c r="C116" s="1">
        <v>44919</v>
      </c>
      <c r="D116">
        <v>138172639</v>
      </c>
      <c r="E116" t="s">
        <v>119</v>
      </c>
      <c r="F116" t="s">
        <v>110</v>
      </c>
      <c r="G116" t="s">
        <v>120</v>
      </c>
      <c r="H116" s="25" t="s">
        <v>112</v>
      </c>
      <c r="I116">
        <v>25.560300000000002</v>
      </c>
      <c r="J116" s="1">
        <v>44922</v>
      </c>
      <c r="K116" t="s">
        <v>102</v>
      </c>
      <c r="L116">
        <v>5000</v>
      </c>
      <c r="M116">
        <v>0</v>
      </c>
      <c r="N116">
        <v>195.60599999999999</v>
      </c>
      <c r="O116" t="s">
        <v>103</v>
      </c>
      <c r="Q116" t="s">
        <v>113</v>
      </c>
    </row>
    <row r="117" spans="1:17">
      <c r="A117" t="s">
        <v>14</v>
      </c>
      <c r="B117" t="s">
        <v>15</v>
      </c>
      <c r="C117" s="1">
        <v>44922</v>
      </c>
      <c r="D117">
        <v>138533206</v>
      </c>
      <c r="E117" t="s">
        <v>92</v>
      </c>
      <c r="F117" t="s">
        <v>106</v>
      </c>
      <c r="G117" t="s">
        <v>107</v>
      </c>
      <c r="H117" s="25" t="s">
        <v>108</v>
      </c>
      <c r="I117">
        <v>29.992999999999999</v>
      </c>
      <c r="J117" s="1">
        <v>44922</v>
      </c>
      <c r="K117" t="s">
        <v>109</v>
      </c>
      <c r="L117">
        <v>1891.25</v>
      </c>
      <c r="M117">
        <v>0</v>
      </c>
      <c r="N117">
        <v>63.052999999999997</v>
      </c>
      <c r="O117" t="s">
        <v>103</v>
      </c>
      <c r="Q117" t="s">
        <v>132</v>
      </c>
    </row>
    <row r="118" spans="1:17">
      <c r="A118" t="s">
        <v>14</v>
      </c>
      <c r="B118" t="s">
        <v>15</v>
      </c>
      <c r="C118" s="1">
        <v>44923</v>
      </c>
      <c r="D118">
        <v>138474992</v>
      </c>
      <c r="E118" t="s">
        <v>119</v>
      </c>
      <c r="F118" t="s">
        <v>106</v>
      </c>
      <c r="G118" t="s">
        <v>107</v>
      </c>
      <c r="H118" s="25" t="s">
        <v>108</v>
      </c>
      <c r="I118">
        <v>30.135000000000002</v>
      </c>
      <c r="J118" s="1">
        <v>44923</v>
      </c>
      <c r="K118" t="s">
        <v>109</v>
      </c>
      <c r="L118">
        <v>5000</v>
      </c>
      <c r="M118">
        <v>0</v>
      </c>
      <c r="N118">
        <v>165.91200000000001</v>
      </c>
      <c r="O118" t="s">
        <v>103</v>
      </c>
      <c r="Q118" t="s">
        <v>113</v>
      </c>
    </row>
    <row r="119" spans="1:17">
      <c r="A119" t="s">
        <v>14</v>
      </c>
      <c r="B119" t="s">
        <v>15</v>
      </c>
      <c r="C119" s="1">
        <v>44950</v>
      </c>
      <c r="D119">
        <v>140354046</v>
      </c>
      <c r="E119" t="s">
        <v>119</v>
      </c>
      <c r="F119" t="s">
        <v>110</v>
      </c>
      <c r="G119" t="s">
        <v>120</v>
      </c>
      <c r="H119" s="25" t="s">
        <v>112</v>
      </c>
      <c r="I119">
        <v>25.549199999999999</v>
      </c>
      <c r="J119" s="1">
        <v>44950</v>
      </c>
      <c r="K119" t="s">
        <v>102</v>
      </c>
      <c r="L119">
        <v>5000</v>
      </c>
      <c r="M119">
        <v>0</v>
      </c>
      <c r="N119">
        <v>195.691</v>
      </c>
      <c r="O119" t="s">
        <v>103</v>
      </c>
      <c r="Q119" t="s">
        <v>113</v>
      </c>
    </row>
    <row r="120" spans="1:17">
      <c r="A120" t="s">
        <v>14</v>
      </c>
      <c r="B120" t="s">
        <v>15</v>
      </c>
      <c r="C120" s="1">
        <v>44952</v>
      </c>
      <c r="D120">
        <v>140524295</v>
      </c>
      <c r="E120" t="s">
        <v>92</v>
      </c>
      <c r="F120" t="s">
        <v>106</v>
      </c>
      <c r="G120" t="s">
        <v>107</v>
      </c>
      <c r="H120" s="25" t="s">
        <v>108</v>
      </c>
      <c r="I120">
        <v>29.949000000000002</v>
      </c>
      <c r="J120" s="1">
        <v>44952</v>
      </c>
      <c r="K120" t="s">
        <v>109</v>
      </c>
      <c r="L120">
        <v>1944.78</v>
      </c>
      <c r="M120">
        <v>0</v>
      </c>
      <c r="N120">
        <v>64.933000000000007</v>
      </c>
      <c r="O120" t="s">
        <v>103</v>
      </c>
      <c r="Q120" t="s">
        <v>132</v>
      </c>
    </row>
    <row r="121" spans="1:17">
      <c r="A121" t="s">
        <v>14</v>
      </c>
      <c r="B121" t="s">
        <v>15</v>
      </c>
      <c r="C121" s="1">
        <v>44954</v>
      </c>
      <c r="D121">
        <v>140572710</v>
      </c>
      <c r="E121" t="s">
        <v>119</v>
      </c>
      <c r="F121" t="s">
        <v>106</v>
      </c>
      <c r="G121" t="s">
        <v>107</v>
      </c>
      <c r="H121" s="25" t="s">
        <v>108</v>
      </c>
      <c r="I121">
        <v>29.559000000000001</v>
      </c>
      <c r="J121" s="1">
        <v>44956</v>
      </c>
      <c r="K121" t="s">
        <v>109</v>
      </c>
      <c r="L121">
        <v>5000</v>
      </c>
      <c r="M121">
        <v>0</v>
      </c>
      <c r="N121">
        <v>169.14500000000001</v>
      </c>
      <c r="O121" t="s">
        <v>103</v>
      </c>
      <c r="Q121" t="s">
        <v>113</v>
      </c>
    </row>
    <row r="122" spans="1:17">
      <c r="A122" t="s">
        <v>14</v>
      </c>
      <c r="B122" t="s">
        <v>15</v>
      </c>
      <c r="C122" s="1">
        <v>44981</v>
      </c>
      <c r="D122">
        <v>141987932</v>
      </c>
      <c r="E122" t="s">
        <v>119</v>
      </c>
      <c r="F122" t="s">
        <v>110</v>
      </c>
      <c r="G122" t="s">
        <v>120</v>
      </c>
      <c r="H122" s="25" t="s">
        <v>112</v>
      </c>
      <c r="I122">
        <v>25.051300000000001</v>
      </c>
      <c r="J122" s="1">
        <v>44981</v>
      </c>
      <c r="K122" t="s">
        <v>102</v>
      </c>
      <c r="L122">
        <v>5000</v>
      </c>
      <c r="M122">
        <v>0</v>
      </c>
      <c r="N122">
        <v>199.58</v>
      </c>
      <c r="O122" t="s">
        <v>103</v>
      </c>
      <c r="Q122" t="s">
        <v>113</v>
      </c>
    </row>
    <row r="123" spans="1:17">
      <c r="A123" t="s">
        <v>14</v>
      </c>
      <c r="B123" t="s">
        <v>15</v>
      </c>
      <c r="C123" s="1">
        <v>44985</v>
      </c>
      <c r="D123">
        <v>142365660</v>
      </c>
      <c r="E123" t="s">
        <v>92</v>
      </c>
      <c r="F123" t="s">
        <v>106</v>
      </c>
      <c r="G123" t="s">
        <v>107</v>
      </c>
      <c r="H123" s="25" t="s">
        <v>108</v>
      </c>
      <c r="I123">
        <v>29.251000000000001</v>
      </c>
      <c r="J123" s="1">
        <v>44985</v>
      </c>
      <c r="K123" t="s">
        <v>109</v>
      </c>
      <c r="L123">
        <v>1999.64</v>
      </c>
      <c r="M123">
        <v>0</v>
      </c>
      <c r="N123">
        <v>68.358000000000004</v>
      </c>
      <c r="O123" t="s">
        <v>103</v>
      </c>
      <c r="Q123" t="s">
        <v>132</v>
      </c>
    </row>
    <row r="124" spans="1:17">
      <c r="A124" t="s">
        <v>14</v>
      </c>
      <c r="B124" t="s">
        <v>15</v>
      </c>
      <c r="C124" s="1">
        <v>44985</v>
      </c>
      <c r="D124">
        <v>142178183</v>
      </c>
      <c r="E124" t="s">
        <v>119</v>
      </c>
      <c r="F124" t="s">
        <v>106</v>
      </c>
      <c r="G124" t="s">
        <v>107</v>
      </c>
      <c r="H124" s="25" t="s">
        <v>108</v>
      </c>
      <c r="I124">
        <v>29.199000000000002</v>
      </c>
      <c r="J124" s="1">
        <v>44985</v>
      </c>
      <c r="K124" t="s">
        <v>109</v>
      </c>
      <c r="L124">
        <v>5000</v>
      </c>
      <c r="M124">
        <v>0</v>
      </c>
      <c r="N124">
        <v>171.23</v>
      </c>
      <c r="O124" t="s">
        <v>103</v>
      </c>
      <c r="Q124" t="s">
        <v>113</v>
      </c>
    </row>
    <row r="125" spans="1:17">
      <c r="A125" t="s">
        <v>14</v>
      </c>
      <c r="B125" t="s">
        <v>15</v>
      </c>
      <c r="C125" s="1">
        <v>45009</v>
      </c>
      <c r="D125">
        <v>143596265</v>
      </c>
      <c r="E125" t="s">
        <v>119</v>
      </c>
      <c r="F125" t="s">
        <v>110</v>
      </c>
      <c r="G125" t="s">
        <v>120</v>
      </c>
      <c r="H125" s="25" t="s">
        <v>112</v>
      </c>
      <c r="I125">
        <v>24.737100000000002</v>
      </c>
      <c r="J125" s="1">
        <v>45009</v>
      </c>
      <c r="K125" t="s">
        <v>102</v>
      </c>
      <c r="L125">
        <v>5000</v>
      </c>
      <c r="M125">
        <v>0</v>
      </c>
      <c r="N125">
        <v>202.11500000000001</v>
      </c>
      <c r="O125" t="s">
        <v>103</v>
      </c>
      <c r="Q125" t="s">
        <v>113</v>
      </c>
    </row>
    <row r="126" spans="1:17">
      <c r="A126" t="s">
        <v>14</v>
      </c>
      <c r="B126" t="s">
        <v>15</v>
      </c>
      <c r="C126" s="1">
        <v>45013</v>
      </c>
      <c r="D126">
        <v>143795488</v>
      </c>
      <c r="E126" t="s">
        <v>119</v>
      </c>
      <c r="F126" t="s">
        <v>106</v>
      </c>
      <c r="G126" t="s">
        <v>107</v>
      </c>
      <c r="H126" s="25" t="s">
        <v>108</v>
      </c>
      <c r="I126">
        <v>28.791</v>
      </c>
      <c r="J126" s="1">
        <v>45013</v>
      </c>
      <c r="K126" t="s">
        <v>109</v>
      </c>
      <c r="L126">
        <v>5000</v>
      </c>
      <c r="M126">
        <v>0</v>
      </c>
      <c r="N126">
        <v>173.65700000000001</v>
      </c>
      <c r="O126" t="s">
        <v>103</v>
      </c>
      <c r="Q126" t="s">
        <v>113</v>
      </c>
    </row>
    <row r="127" spans="1:17">
      <c r="A127" t="s">
        <v>14</v>
      </c>
      <c r="B127" t="s">
        <v>15</v>
      </c>
      <c r="C127" s="1">
        <v>45013</v>
      </c>
      <c r="D127">
        <v>143829248</v>
      </c>
      <c r="E127" t="s">
        <v>92</v>
      </c>
      <c r="F127" t="s">
        <v>106</v>
      </c>
      <c r="G127" t="s">
        <v>107</v>
      </c>
      <c r="H127" s="25" t="s">
        <v>108</v>
      </c>
      <c r="I127">
        <v>28.827999999999999</v>
      </c>
      <c r="J127" s="1">
        <v>45013</v>
      </c>
      <c r="K127" t="s">
        <v>109</v>
      </c>
      <c r="L127">
        <v>2055.9299999999998</v>
      </c>
      <c r="M127">
        <v>0</v>
      </c>
      <c r="N127">
        <v>71.313999999999993</v>
      </c>
      <c r="O127" t="s">
        <v>103</v>
      </c>
      <c r="Q127" t="s">
        <v>132</v>
      </c>
    </row>
    <row r="128" spans="1:17">
      <c r="A128" t="s">
        <v>14</v>
      </c>
      <c r="B128" t="s">
        <v>15</v>
      </c>
      <c r="C128" s="1">
        <v>45021</v>
      </c>
      <c r="D128">
        <v>144237737</v>
      </c>
      <c r="E128" t="s">
        <v>99</v>
      </c>
      <c r="F128" t="s">
        <v>117</v>
      </c>
      <c r="G128" t="s">
        <v>118</v>
      </c>
      <c r="H128" s="25">
        <v>91087813195</v>
      </c>
      <c r="I128">
        <v>64.77</v>
      </c>
      <c r="J128" s="1">
        <v>45021</v>
      </c>
      <c r="K128" t="s">
        <v>102</v>
      </c>
      <c r="L128">
        <v>60000</v>
      </c>
      <c r="M128">
        <v>0</v>
      </c>
      <c r="N128">
        <v>926.30799999999999</v>
      </c>
      <c r="O128" t="s">
        <v>103</v>
      </c>
      <c r="Q128" t="s">
        <v>105</v>
      </c>
    </row>
    <row r="129" spans="1:17">
      <c r="A129" t="s">
        <v>14</v>
      </c>
      <c r="B129" t="s">
        <v>15</v>
      </c>
      <c r="C129" s="1">
        <v>45040</v>
      </c>
      <c r="D129">
        <v>145161526</v>
      </c>
      <c r="E129" t="s">
        <v>119</v>
      </c>
      <c r="F129" t="s">
        <v>110</v>
      </c>
      <c r="G129" t="s">
        <v>120</v>
      </c>
      <c r="H129" s="25" t="s">
        <v>112</v>
      </c>
      <c r="I129">
        <v>25.262699999999999</v>
      </c>
      <c r="J129" s="1">
        <v>45040</v>
      </c>
      <c r="K129" t="s">
        <v>102</v>
      </c>
      <c r="L129">
        <v>5000</v>
      </c>
      <c r="M129">
        <v>0</v>
      </c>
      <c r="N129">
        <v>197.91</v>
      </c>
      <c r="O129" t="s">
        <v>103</v>
      </c>
      <c r="Q129" t="s">
        <v>113</v>
      </c>
    </row>
    <row r="130" spans="1:17">
      <c r="A130" t="s">
        <v>14</v>
      </c>
      <c r="B130" t="s">
        <v>15</v>
      </c>
      <c r="C130" s="1">
        <v>45042</v>
      </c>
      <c r="D130">
        <v>145334442</v>
      </c>
      <c r="E130" t="s">
        <v>92</v>
      </c>
      <c r="F130" t="s">
        <v>106</v>
      </c>
      <c r="G130" t="s">
        <v>107</v>
      </c>
      <c r="H130" s="25" t="s">
        <v>108</v>
      </c>
      <c r="I130">
        <v>29.690999999999999</v>
      </c>
      <c r="J130" s="1">
        <v>45042</v>
      </c>
      <c r="K130" t="s">
        <v>109</v>
      </c>
      <c r="L130">
        <v>2076.75</v>
      </c>
      <c r="M130">
        <v>0</v>
      </c>
      <c r="N130">
        <v>69.941999999999993</v>
      </c>
      <c r="O130" t="s">
        <v>103</v>
      </c>
      <c r="Q130" t="s">
        <v>132</v>
      </c>
    </row>
    <row r="131" spans="1:17">
      <c r="A131" t="s">
        <v>14</v>
      </c>
      <c r="B131" t="s">
        <v>15</v>
      </c>
      <c r="C131" s="1">
        <v>45044</v>
      </c>
      <c r="D131">
        <v>145377422</v>
      </c>
      <c r="E131" t="s">
        <v>119</v>
      </c>
      <c r="F131" t="s">
        <v>106</v>
      </c>
      <c r="G131" t="s">
        <v>107</v>
      </c>
      <c r="H131" s="25" t="s">
        <v>108</v>
      </c>
      <c r="I131">
        <v>30.056000000000001</v>
      </c>
      <c r="J131" s="1">
        <v>45044</v>
      </c>
      <c r="K131" t="s">
        <v>109</v>
      </c>
      <c r="L131">
        <v>5000</v>
      </c>
      <c r="M131">
        <v>0</v>
      </c>
      <c r="N131">
        <v>166.34800000000001</v>
      </c>
      <c r="O131" t="s">
        <v>103</v>
      </c>
      <c r="Q131" t="s">
        <v>113</v>
      </c>
    </row>
    <row r="132" spans="1:17">
      <c r="A132" t="s">
        <v>14</v>
      </c>
      <c r="B132" t="s">
        <v>15</v>
      </c>
      <c r="C132" s="1">
        <v>45070</v>
      </c>
      <c r="D132">
        <v>146772633</v>
      </c>
      <c r="E132" t="s">
        <v>119</v>
      </c>
      <c r="F132" t="s">
        <v>110</v>
      </c>
      <c r="G132" t="s">
        <v>120</v>
      </c>
      <c r="H132" s="25" t="s">
        <v>112</v>
      </c>
      <c r="I132">
        <v>25.6663</v>
      </c>
      <c r="J132" s="1">
        <v>45070</v>
      </c>
      <c r="K132" t="s">
        <v>102</v>
      </c>
      <c r="L132">
        <v>5000</v>
      </c>
      <c r="M132">
        <v>0</v>
      </c>
      <c r="N132">
        <v>194.798</v>
      </c>
      <c r="O132" t="s">
        <v>103</v>
      </c>
      <c r="Q132" t="s">
        <v>113</v>
      </c>
    </row>
    <row r="133" spans="1:17">
      <c r="A133" t="s">
        <v>14</v>
      </c>
      <c r="B133" t="s">
        <v>15</v>
      </c>
      <c r="C133" s="1">
        <v>45072</v>
      </c>
      <c r="D133">
        <v>146950338</v>
      </c>
      <c r="E133" t="s">
        <v>92</v>
      </c>
      <c r="F133" t="s">
        <v>106</v>
      </c>
      <c r="G133" t="s">
        <v>107</v>
      </c>
      <c r="H133" s="25" t="s">
        <v>108</v>
      </c>
      <c r="I133">
        <v>30.068999999999999</v>
      </c>
      <c r="J133" s="1">
        <v>45072</v>
      </c>
      <c r="K133" t="s">
        <v>109</v>
      </c>
      <c r="L133">
        <v>1710.09</v>
      </c>
      <c r="M133">
        <v>0</v>
      </c>
      <c r="N133">
        <v>56.869</v>
      </c>
      <c r="O133" t="s">
        <v>103</v>
      </c>
      <c r="Q133" t="s">
        <v>132</v>
      </c>
    </row>
    <row r="134" spans="1:17">
      <c r="A134" t="s">
        <v>14</v>
      </c>
      <c r="B134" t="s">
        <v>15</v>
      </c>
      <c r="C134" s="1">
        <v>45074</v>
      </c>
      <c r="D134">
        <v>146986069</v>
      </c>
      <c r="E134" t="s">
        <v>119</v>
      </c>
      <c r="F134" t="s">
        <v>106</v>
      </c>
      <c r="G134" t="s">
        <v>107</v>
      </c>
      <c r="H134" s="25" t="s">
        <v>108</v>
      </c>
      <c r="I134">
        <v>30.314</v>
      </c>
      <c r="J134" s="1">
        <v>45075</v>
      </c>
      <c r="K134" t="s">
        <v>109</v>
      </c>
      <c r="L134">
        <v>5000</v>
      </c>
      <c r="M134">
        <v>0</v>
      </c>
      <c r="N134">
        <v>164.93199999999999</v>
      </c>
      <c r="O134" t="s">
        <v>103</v>
      </c>
      <c r="Q134" t="s">
        <v>113</v>
      </c>
    </row>
    <row r="135" spans="1:17">
      <c r="A135" t="s">
        <v>14</v>
      </c>
      <c r="B135" t="s">
        <v>15</v>
      </c>
      <c r="C135" s="1">
        <v>45075</v>
      </c>
      <c r="D135">
        <v>147008695</v>
      </c>
      <c r="E135" t="s">
        <v>99</v>
      </c>
      <c r="F135" t="s">
        <v>106</v>
      </c>
      <c r="G135" t="s">
        <v>133</v>
      </c>
      <c r="H135" s="25" t="s">
        <v>134</v>
      </c>
      <c r="I135">
        <v>10</v>
      </c>
      <c r="J135" s="1">
        <v>45079</v>
      </c>
      <c r="K135" t="s">
        <v>102</v>
      </c>
      <c r="L135">
        <v>5000</v>
      </c>
      <c r="M135">
        <v>0</v>
      </c>
      <c r="N135">
        <v>499.97500000000002</v>
      </c>
      <c r="O135" t="s">
        <v>103</v>
      </c>
      <c r="Q135" t="s">
        <v>135</v>
      </c>
    </row>
    <row r="136" spans="1:17">
      <c r="A136" t="s">
        <v>14</v>
      </c>
      <c r="B136" t="s">
        <v>15</v>
      </c>
      <c r="C136" s="1">
        <v>45075</v>
      </c>
      <c r="D136">
        <v>147008699</v>
      </c>
      <c r="E136" t="s">
        <v>99</v>
      </c>
      <c r="F136" t="s">
        <v>106</v>
      </c>
      <c r="G136" t="s">
        <v>133</v>
      </c>
      <c r="H136" s="25" t="s">
        <v>134</v>
      </c>
      <c r="I136">
        <v>10</v>
      </c>
      <c r="J136" s="1">
        <v>45079</v>
      </c>
      <c r="K136" t="s">
        <v>102</v>
      </c>
      <c r="L136">
        <v>5000</v>
      </c>
      <c r="M136">
        <v>0</v>
      </c>
      <c r="N136">
        <v>499.97500000000002</v>
      </c>
      <c r="O136" t="s">
        <v>103</v>
      </c>
      <c r="Q136" t="s">
        <v>135</v>
      </c>
    </row>
    <row r="137" spans="1:17">
      <c r="A137" t="s">
        <v>14</v>
      </c>
      <c r="B137" t="s">
        <v>15</v>
      </c>
      <c r="C137" s="1">
        <v>45075</v>
      </c>
      <c r="D137">
        <v>147008704</v>
      </c>
      <c r="E137" t="s">
        <v>99</v>
      </c>
      <c r="F137" t="s">
        <v>106</v>
      </c>
      <c r="G137" t="s">
        <v>133</v>
      </c>
      <c r="H137" s="25" t="s">
        <v>134</v>
      </c>
      <c r="I137">
        <v>10</v>
      </c>
      <c r="J137" s="1">
        <v>45079</v>
      </c>
      <c r="K137" t="s">
        <v>102</v>
      </c>
      <c r="L137">
        <v>5000</v>
      </c>
      <c r="M137">
        <v>0</v>
      </c>
      <c r="N137">
        <v>499.97500000000002</v>
      </c>
      <c r="O137" t="s">
        <v>103</v>
      </c>
      <c r="Q137" t="s">
        <v>135</v>
      </c>
    </row>
    <row r="138" spans="1:17">
      <c r="A138" t="s">
        <v>14</v>
      </c>
      <c r="B138" t="s">
        <v>15</v>
      </c>
      <c r="C138" s="1">
        <v>45075</v>
      </c>
      <c r="D138">
        <v>147008708</v>
      </c>
      <c r="E138" t="s">
        <v>99</v>
      </c>
      <c r="F138" t="s">
        <v>106</v>
      </c>
      <c r="G138" t="s">
        <v>133</v>
      </c>
      <c r="H138" s="25" t="s">
        <v>134</v>
      </c>
      <c r="I138">
        <v>10</v>
      </c>
      <c r="J138" s="1">
        <v>45079</v>
      </c>
      <c r="K138" t="s">
        <v>102</v>
      </c>
      <c r="L138">
        <v>5000</v>
      </c>
      <c r="M138">
        <v>0</v>
      </c>
      <c r="N138">
        <v>499.97500000000002</v>
      </c>
      <c r="O138" t="s">
        <v>103</v>
      </c>
      <c r="Q138" t="s">
        <v>135</v>
      </c>
    </row>
    <row r="139" spans="1:17">
      <c r="A139" t="s">
        <v>14</v>
      </c>
      <c r="B139" t="s">
        <v>15</v>
      </c>
      <c r="C139" s="1">
        <v>45085</v>
      </c>
      <c r="D139">
        <v>147624642</v>
      </c>
      <c r="E139" t="s">
        <v>124</v>
      </c>
      <c r="F139" t="s">
        <v>100</v>
      </c>
      <c r="G139" t="s">
        <v>101</v>
      </c>
      <c r="H139" s="25">
        <v>1039297412</v>
      </c>
      <c r="I139">
        <v>156.83000000000001</v>
      </c>
      <c r="J139" s="1">
        <v>45085</v>
      </c>
      <c r="K139" t="s">
        <v>102</v>
      </c>
      <c r="L139">
        <v>4628.68</v>
      </c>
      <c r="M139">
        <v>0</v>
      </c>
      <c r="N139">
        <v>29.513999999999999</v>
      </c>
      <c r="O139" t="s">
        <v>103</v>
      </c>
      <c r="Q139" t="s">
        <v>105</v>
      </c>
    </row>
    <row r="140" spans="1:17">
      <c r="A140" t="s">
        <v>14</v>
      </c>
      <c r="B140" t="s">
        <v>15</v>
      </c>
      <c r="C140" s="1">
        <v>45085</v>
      </c>
      <c r="D140">
        <v>147624681</v>
      </c>
      <c r="E140" t="s">
        <v>124</v>
      </c>
      <c r="F140" t="s">
        <v>100</v>
      </c>
      <c r="G140" t="s">
        <v>123</v>
      </c>
      <c r="H140" s="25">
        <v>1039297412</v>
      </c>
      <c r="I140">
        <v>470.86500000000001</v>
      </c>
      <c r="J140" s="1">
        <v>45086</v>
      </c>
      <c r="K140" t="s">
        <v>102</v>
      </c>
      <c r="L140">
        <v>113316.96</v>
      </c>
      <c r="M140">
        <v>0</v>
      </c>
      <c r="N140">
        <v>240.65700000000001</v>
      </c>
      <c r="O140" t="s">
        <v>103</v>
      </c>
      <c r="Q140" t="s">
        <v>105</v>
      </c>
    </row>
    <row r="141" spans="1:17">
      <c r="A141" t="s">
        <v>14</v>
      </c>
      <c r="B141" t="s">
        <v>15</v>
      </c>
      <c r="C141" s="1">
        <v>45085</v>
      </c>
      <c r="D141">
        <v>147625043</v>
      </c>
      <c r="E141" t="s">
        <v>124</v>
      </c>
      <c r="F141" t="s">
        <v>117</v>
      </c>
      <c r="G141" t="s">
        <v>121</v>
      </c>
      <c r="H141" s="25">
        <v>91087813195</v>
      </c>
      <c r="I141">
        <v>44.33</v>
      </c>
      <c r="J141" s="1">
        <v>45086</v>
      </c>
      <c r="K141" t="s">
        <v>102</v>
      </c>
      <c r="L141">
        <v>35771.300000000003</v>
      </c>
      <c r="M141">
        <v>0</v>
      </c>
      <c r="N141">
        <v>806.93200000000002</v>
      </c>
      <c r="O141" t="s">
        <v>103</v>
      </c>
      <c r="Q141" t="s">
        <v>105</v>
      </c>
    </row>
    <row r="142" spans="1:17">
      <c r="A142" t="s">
        <v>14</v>
      </c>
      <c r="B142" t="s">
        <v>15</v>
      </c>
      <c r="C142" s="1">
        <v>45085</v>
      </c>
      <c r="D142">
        <v>147625058</v>
      </c>
      <c r="E142" t="s">
        <v>124</v>
      </c>
      <c r="F142" t="s">
        <v>117</v>
      </c>
      <c r="G142" t="s">
        <v>118</v>
      </c>
      <c r="H142" s="25">
        <v>91087813195</v>
      </c>
      <c r="I142">
        <v>71.75</v>
      </c>
      <c r="J142" s="1">
        <v>45086</v>
      </c>
      <c r="K142" t="s">
        <v>102</v>
      </c>
      <c r="L142">
        <v>141962.42000000001</v>
      </c>
      <c r="M142">
        <v>0</v>
      </c>
      <c r="N142">
        <v>1978.663</v>
      </c>
      <c r="O142" t="s">
        <v>103</v>
      </c>
      <c r="Q142" t="s">
        <v>105</v>
      </c>
    </row>
    <row r="143" spans="1:17">
      <c r="A143" t="s">
        <v>14</v>
      </c>
      <c r="B143" t="s">
        <v>15</v>
      </c>
      <c r="C143" s="1">
        <v>45085</v>
      </c>
      <c r="D143">
        <v>147625081</v>
      </c>
      <c r="E143" t="s">
        <v>124</v>
      </c>
      <c r="F143" t="s">
        <v>110</v>
      </c>
      <c r="G143" t="s">
        <v>128</v>
      </c>
      <c r="H143" s="25" t="s">
        <v>112</v>
      </c>
      <c r="I143">
        <v>14.02</v>
      </c>
      <c r="J143" s="1">
        <v>45086</v>
      </c>
      <c r="K143" t="s">
        <v>102</v>
      </c>
      <c r="L143">
        <v>132507.54999999999</v>
      </c>
      <c r="M143">
        <v>0</v>
      </c>
      <c r="N143">
        <v>9451.3230000000003</v>
      </c>
      <c r="O143" t="s">
        <v>103</v>
      </c>
      <c r="Q143" t="s">
        <v>105</v>
      </c>
    </row>
    <row r="144" spans="1:17">
      <c r="A144" t="s">
        <v>14</v>
      </c>
      <c r="B144" t="s">
        <v>15</v>
      </c>
      <c r="C144" s="1">
        <v>45101</v>
      </c>
      <c r="D144">
        <v>148478613</v>
      </c>
      <c r="E144" t="s">
        <v>119</v>
      </c>
      <c r="F144" t="s">
        <v>110</v>
      </c>
      <c r="G144" t="s">
        <v>120</v>
      </c>
      <c r="H144" s="25" t="s">
        <v>112</v>
      </c>
      <c r="I144">
        <v>25.992999999999999</v>
      </c>
      <c r="J144" s="1">
        <v>45103</v>
      </c>
      <c r="K144" t="s">
        <v>102</v>
      </c>
      <c r="L144">
        <v>5000</v>
      </c>
      <c r="M144">
        <v>0</v>
      </c>
      <c r="N144">
        <v>192.35</v>
      </c>
      <c r="O144" t="s">
        <v>103</v>
      </c>
      <c r="Q144" t="s">
        <v>113</v>
      </c>
    </row>
    <row r="145" spans="1:17">
      <c r="A145" t="s">
        <v>14</v>
      </c>
      <c r="B145" t="s">
        <v>15</v>
      </c>
      <c r="C145" s="1">
        <v>45104</v>
      </c>
      <c r="D145">
        <v>148696762</v>
      </c>
      <c r="E145" t="s">
        <v>92</v>
      </c>
      <c r="F145" t="s">
        <v>106</v>
      </c>
      <c r="G145" t="s">
        <v>107</v>
      </c>
      <c r="H145" s="25" t="s">
        <v>108</v>
      </c>
      <c r="I145">
        <v>30.631</v>
      </c>
      <c r="J145" s="1">
        <v>45104</v>
      </c>
      <c r="K145" t="s">
        <v>109</v>
      </c>
      <c r="L145">
        <v>1964.11</v>
      </c>
      <c r="M145">
        <v>0</v>
      </c>
      <c r="N145">
        <v>64.117999999999995</v>
      </c>
      <c r="O145" t="s">
        <v>103</v>
      </c>
      <c r="Q145" t="s">
        <v>132</v>
      </c>
    </row>
    <row r="146" spans="1:17">
      <c r="A146" t="s">
        <v>14</v>
      </c>
      <c r="B146" t="s">
        <v>15</v>
      </c>
      <c r="C146" s="1">
        <v>45105</v>
      </c>
      <c r="D146">
        <v>148680093</v>
      </c>
      <c r="E146" t="s">
        <v>119</v>
      </c>
      <c r="F146" t="s">
        <v>106</v>
      </c>
      <c r="G146" t="s">
        <v>107</v>
      </c>
      <c r="H146" s="25" t="s">
        <v>108</v>
      </c>
      <c r="I146">
        <v>30.960999999999999</v>
      </c>
      <c r="J146" s="1">
        <v>45105</v>
      </c>
      <c r="K146" t="s">
        <v>109</v>
      </c>
      <c r="L146">
        <v>5000</v>
      </c>
      <c r="M146">
        <v>0</v>
      </c>
      <c r="N146">
        <v>161.48500000000001</v>
      </c>
      <c r="O146" t="s">
        <v>103</v>
      </c>
      <c r="Q146" t="s">
        <v>113</v>
      </c>
    </row>
    <row r="147" spans="1:17">
      <c r="A147" t="s">
        <v>14</v>
      </c>
      <c r="B147" t="s">
        <v>15</v>
      </c>
      <c r="C147" s="1">
        <v>45131</v>
      </c>
      <c r="D147">
        <v>150193074</v>
      </c>
      <c r="E147" t="s">
        <v>119</v>
      </c>
      <c r="F147" t="s">
        <v>110</v>
      </c>
      <c r="G147" t="s">
        <v>120</v>
      </c>
      <c r="H147" s="25" t="s">
        <v>112</v>
      </c>
      <c r="I147">
        <v>26.9361</v>
      </c>
      <c r="J147" s="1">
        <v>45131</v>
      </c>
      <c r="K147" t="s">
        <v>102</v>
      </c>
      <c r="L147">
        <v>5000</v>
      </c>
      <c r="M147">
        <v>0</v>
      </c>
      <c r="N147">
        <v>185.61500000000001</v>
      </c>
      <c r="O147" t="s">
        <v>103</v>
      </c>
      <c r="Q147" t="s">
        <v>113</v>
      </c>
    </row>
    <row r="148" spans="1:17">
      <c r="A148" t="s">
        <v>14</v>
      </c>
      <c r="B148" t="s">
        <v>15</v>
      </c>
      <c r="C148" s="1">
        <v>45133</v>
      </c>
      <c r="D148">
        <v>150643447</v>
      </c>
      <c r="E148" t="s">
        <v>92</v>
      </c>
      <c r="F148" t="s">
        <v>106</v>
      </c>
      <c r="G148" t="s">
        <v>107</v>
      </c>
      <c r="H148" s="25" t="s">
        <v>108</v>
      </c>
      <c r="I148">
        <v>31.876000000000001</v>
      </c>
      <c r="J148" s="1">
        <v>45133</v>
      </c>
      <c r="K148" t="s">
        <v>109</v>
      </c>
      <c r="L148">
        <v>2011</v>
      </c>
      <c r="M148">
        <v>0</v>
      </c>
      <c r="N148">
        <v>63.085000000000001</v>
      </c>
      <c r="O148" t="s">
        <v>103</v>
      </c>
      <c r="Q148" t="s">
        <v>132</v>
      </c>
    </row>
    <row r="149" spans="1:17">
      <c r="A149" t="s">
        <v>14</v>
      </c>
      <c r="B149" t="s">
        <v>15</v>
      </c>
      <c r="C149" s="1">
        <v>45135</v>
      </c>
      <c r="D149">
        <v>150421064</v>
      </c>
      <c r="E149" t="s">
        <v>119</v>
      </c>
      <c r="F149" t="s">
        <v>106</v>
      </c>
      <c r="G149" t="s">
        <v>107</v>
      </c>
      <c r="H149" s="25" t="s">
        <v>108</v>
      </c>
      <c r="I149">
        <v>32.078000000000003</v>
      </c>
      <c r="J149" s="1">
        <v>45135</v>
      </c>
      <c r="K149" t="s">
        <v>109</v>
      </c>
      <c r="L149">
        <v>5000</v>
      </c>
      <c r="M149">
        <v>0</v>
      </c>
      <c r="N149">
        <v>155.86199999999999</v>
      </c>
      <c r="O149" t="s">
        <v>103</v>
      </c>
      <c r="Q149" t="s">
        <v>113</v>
      </c>
    </row>
    <row r="150" spans="1:17">
      <c r="A150" t="s">
        <v>14</v>
      </c>
      <c r="B150" t="s">
        <v>15</v>
      </c>
      <c r="C150" s="1">
        <v>45162</v>
      </c>
      <c r="D150">
        <v>152066591</v>
      </c>
      <c r="E150" t="s">
        <v>119</v>
      </c>
      <c r="F150" t="s">
        <v>110</v>
      </c>
      <c r="G150" t="s">
        <v>120</v>
      </c>
      <c r="H150" s="25" t="s">
        <v>112</v>
      </c>
      <c r="I150">
        <v>27.264800000000001</v>
      </c>
      <c r="J150" s="1">
        <v>45162</v>
      </c>
      <c r="K150" t="s">
        <v>102</v>
      </c>
      <c r="L150">
        <v>5000</v>
      </c>
      <c r="M150">
        <v>0</v>
      </c>
      <c r="N150">
        <v>183.37700000000001</v>
      </c>
      <c r="O150" t="s">
        <v>103</v>
      </c>
      <c r="Q150" t="s">
        <v>113</v>
      </c>
    </row>
    <row r="151" spans="1:17">
      <c r="A151" t="s">
        <v>14</v>
      </c>
      <c r="B151" t="s">
        <v>15</v>
      </c>
      <c r="C151" s="1">
        <v>45164</v>
      </c>
      <c r="D151">
        <v>152289607</v>
      </c>
      <c r="E151" t="s">
        <v>92</v>
      </c>
      <c r="F151" t="s">
        <v>106</v>
      </c>
      <c r="G151" t="s">
        <v>107</v>
      </c>
      <c r="H151" s="25" t="s">
        <v>108</v>
      </c>
      <c r="I151">
        <v>32.222999999999999</v>
      </c>
      <c r="J151" s="1">
        <v>45164</v>
      </c>
      <c r="K151" t="s">
        <v>109</v>
      </c>
      <c r="L151">
        <v>2056.35</v>
      </c>
      <c r="M151">
        <v>0</v>
      </c>
      <c r="N151">
        <v>63.813000000000002</v>
      </c>
      <c r="O151" t="s">
        <v>103</v>
      </c>
      <c r="Q151" t="s">
        <v>132</v>
      </c>
    </row>
    <row r="152" spans="1:17">
      <c r="A152" t="s">
        <v>14</v>
      </c>
      <c r="B152" t="s">
        <v>15</v>
      </c>
      <c r="C152" s="1">
        <v>45166</v>
      </c>
      <c r="D152">
        <v>152270852</v>
      </c>
      <c r="E152" t="s">
        <v>119</v>
      </c>
      <c r="F152" t="s">
        <v>106</v>
      </c>
      <c r="G152" t="s">
        <v>107</v>
      </c>
      <c r="H152" s="25" t="s">
        <v>108</v>
      </c>
      <c r="I152">
        <v>32.348999999999997</v>
      </c>
      <c r="J152" s="1">
        <v>45166</v>
      </c>
      <c r="K152" t="s">
        <v>109</v>
      </c>
      <c r="L152">
        <v>5000</v>
      </c>
      <c r="M152">
        <v>0</v>
      </c>
      <c r="N152">
        <v>154.55699999999999</v>
      </c>
      <c r="O152" t="s">
        <v>103</v>
      </c>
      <c r="Q152" t="s">
        <v>113</v>
      </c>
    </row>
    <row r="153" spans="1:17">
      <c r="A153" t="s">
        <v>14</v>
      </c>
      <c r="B153" t="s">
        <v>15</v>
      </c>
      <c r="C153" s="1">
        <v>45193</v>
      </c>
      <c r="D153">
        <v>153841221</v>
      </c>
      <c r="E153" t="s">
        <v>119</v>
      </c>
      <c r="F153" t="s">
        <v>110</v>
      </c>
      <c r="G153" t="s">
        <v>120</v>
      </c>
      <c r="H153" s="25" t="s">
        <v>112</v>
      </c>
      <c r="I153">
        <v>27.621400000000001</v>
      </c>
      <c r="J153" s="1">
        <v>45194</v>
      </c>
      <c r="K153" t="s">
        <v>102</v>
      </c>
      <c r="L153">
        <v>5000</v>
      </c>
      <c r="M153">
        <v>0</v>
      </c>
      <c r="N153">
        <v>181.01</v>
      </c>
      <c r="O153" t="s">
        <v>103</v>
      </c>
      <c r="Q153" t="s">
        <v>113</v>
      </c>
    </row>
    <row r="154" spans="1:17">
      <c r="A154" t="s">
        <v>14</v>
      </c>
      <c r="B154" t="s">
        <v>15</v>
      </c>
      <c r="C154" s="1">
        <v>45195</v>
      </c>
      <c r="D154">
        <v>154033116</v>
      </c>
      <c r="E154" t="s">
        <v>92</v>
      </c>
      <c r="F154" t="s">
        <v>106</v>
      </c>
      <c r="G154" t="s">
        <v>107</v>
      </c>
      <c r="H154" s="25" t="s">
        <v>108</v>
      </c>
      <c r="I154">
        <v>33.018000000000001</v>
      </c>
      <c r="J154" s="1">
        <v>45195</v>
      </c>
      <c r="K154" t="s">
        <v>109</v>
      </c>
      <c r="L154">
        <v>2101.58</v>
      </c>
      <c r="M154">
        <v>0</v>
      </c>
      <c r="N154">
        <v>63.646000000000001</v>
      </c>
      <c r="O154" t="s">
        <v>103</v>
      </c>
      <c r="Q154" t="s">
        <v>132</v>
      </c>
    </row>
    <row r="155" spans="1:17">
      <c r="A155" t="s">
        <v>14</v>
      </c>
      <c r="B155" t="s">
        <v>15</v>
      </c>
      <c r="C155" s="1">
        <v>45197</v>
      </c>
      <c r="D155">
        <v>154069297</v>
      </c>
      <c r="E155" t="s">
        <v>119</v>
      </c>
      <c r="F155" t="s">
        <v>106</v>
      </c>
      <c r="G155" t="s">
        <v>107</v>
      </c>
      <c r="H155" s="25" t="s">
        <v>108</v>
      </c>
      <c r="I155">
        <v>33.276000000000003</v>
      </c>
      <c r="J155" s="1">
        <v>45198</v>
      </c>
      <c r="K155" t="s">
        <v>109</v>
      </c>
      <c r="L155">
        <v>5000</v>
      </c>
      <c r="M155">
        <v>0</v>
      </c>
      <c r="N155">
        <v>150.251</v>
      </c>
      <c r="O155" t="s">
        <v>103</v>
      </c>
      <c r="Q155" t="s">
        <v>113</v>
      </c>
    </row>
    <row r="156" spans="1:17">
      <c r="A156" t="s">
        <v>14</v>
      </c>
      <c r="B156" t="s">
        <v>15</v>
      </c>
      <c r="C156" s="1">
        <v>45223</v>
      </c>
      <c r="D156">
        <v>155604078</v>
      </c>
      <c r="E156" t="s">
        <v>119</v>
      </c>
      <c r="F156" t="s">
        <v>110</v>
      </c>
      <c r="G156" t="s">
        <v>120</v>
      </c>
      <c r="H156" s="25" t="s">
        <v>112</v>
      </c>
      <c r="I156">
        <v>27.3506</v>
      </c>
      <c r="J156" s="1">
        <v>45224</v>
      </c>
      <c r="K156" t="s">
        <v>102</v>
      </c>
      <c r="L156">
        <v>5000</v>
      </c>
      <c r="M156">
        <v>0</v>
      </c>
      <c r="N156">
        <v>182.80199999999999</v>
      </c>
      <c r="O156" t="s">
        <v>103</v>
      </c>
      <c r="Q156" t="s">
        <v>113</v>
      </c>
    </row>
    <row r="157" spans="1:17">
      <c r="A157" t="s">
        <v>14</v>
      </c>
      <c r="B157" t="s">
        <v>15</v>
      </c>
      <c r="C157" s="1">
        <v>45225</v>
      </c>
      <c r="D157">
        <v>155828581</v>
      </c>
      <c r="E157" t="s">
        <v>92</v>
      </c>
      <c r="F157" t="s">
        <v>106</v>
      </c>
      <c r="G157" t="s">
        <v>107</v>
      </c>
      <c r="H157" s="25" t="s">
        <v>108</v>
      </c>
      <c r="I157">
        <v>32.363999999999997</v>
      </c>
      <c r="J157" s="1">
        <v>45225</v>
      </c>
      <c r="K157" t="s">
        <v>109</v>
      </c>
      <c r="L157">
        <v>2145.77</v>
      </c>
      <c r="M157">
        <v>0</v>
      </c>
      <c r="N157">
        <v>66.298000000000002</v>
      </c>
      <c r="O157" t="s">
        <v>103</v>
      </c>
      <c r="Q157" t="s">
        <v>132</v>
      </c>
    </row>
    <row r="158" spans="1:17">
      <c r="A158" t="s">
        <v>14</v>
      </c>
      <c r="B158" t="s">
        <v>15</v>
      </c>
      <c r="C158" s="1">
        <v>45227</v>
      </c>
      <c r="D158">
        <v>155879035</v>
      </c>
      <c r="E158" t="s">
        <v>119</v>
      </c>
      <c r="F158" t="s">
        <v>106</v>
      </c>
      <c r="G158" t="s">
        <v>107</v>
      </c>
      <c r="H158" s="25" t="s">
        <v>108</v>
      </c>
      <c r="I158">
        <v>32.527999999999999</v>
      </c>
      <c r="J158" s="1">
        <v>45229</v>
      </c>
      <c r="K158" t="s">
        <v>109</v>
      </c>
      <c r="L158">
        <v>5000</v>
      </c>
      <c r="M158">
        <v>0</v>
      </c>
      <c r="N158">
        <v>153.70599999999999</v>
      </c>
      <c r="O158" t="s">
        <v>103</v>
      </c>
      <c r="Q158" t="s">
        <v>113</v>
      </c>
    </row>
    <row r="159" spans="1:17">
      <c r="A159" t="s">
        <v>14</v>
      </c>
      <c r="B159" t="s">
        <v>15</v>
      </c>
      <c r="C159" s="1">
        <v>45254</v>
      </c>
      <c r="D159">
        <v>158085966</v>
      </c>
      <c r="E159" t="s">
        <v>119</v>
      </c>
      <c r="F159" t="s">
        <v>110</v>
      </c>
      <c r="G159" t="s">
        <v>120</v>
      </c>
      <c r="H159" s="25" t="s">
        <v>112</v>
      </c>
      <c r="I159">
        <v>28.138200000000001</v>
      </c>
      <c r="J159" s="1">
        <v>45254</v>
      </c>
      <c r="K159" t="s">
        <v>102</v>
      </c>
      <c r="L159">
        <v>5000</v>
      </c>
      <c r="M159">
        <v>0</v>
      </c>
      <c r="N159">
        <v>177.685</v>
      </c>
      <c r="O159" t="s">
        <v>103</v>
      </c>
      <c r="Q159" t="s">
        <v>113</v>
      </c>
    </row>
    <row r="160" spans="1:17">
      <c r="A160" t="s">
        <v>14</v>
      </c>
      <c r="B160" t="s">
        <v>15</v>
      </c>
      <c r="C160" s="1">
        <v>45258</v>
      </c>
      <c r="D160">
        <v>158442510</v>
      </c>
      <c r="E160" t="s">
        <v>119</v>
      </c>
      <c r="F160" t="s">
        <v>106</v>
      </c>
      <c r="G160" t="s">
        <v>107</v>
      </c>
      <c r="H160" s="25" t="s">
        <v>108</v>
      </c>
      <c r="I160">
        <v>34.174999999999997</v>
      </c>
      <c r="J160" s="1">
        <v>45258</v>
      </c>
      <c r="K160" t="s">
        <v>109</v>
      </c>
      <c r="L160">
        <v>5000</v>
      </c>
      <c r="M160">
        <v>0</v>
      </c>
      <c r="N160">
        <v>146.298</v>
      </c>
      <c r="O160" t="s">
        <v>103</v>
      </c>
      <c r="Q160" t="s">
        <v>113</v>
      </c>
    </row>
    <row r="161" spans="1:17">
      <c r="A161" t="s">
        <v>14</v>
      </c>
      <c r="B161" t="s">
        <v>15</v>
      </c>
      <c r="C161" s="1">
        <v>45259</v>
      </c>
      <c r="D161">
        <v>158591115</v>
      </c>
      <c r="E161" t="s">
        <v>92</v>
      </c>
      <c r="F161" t="s">
        <v>106</v>
      </c>
      <c r="G161" t="s">
        <v>107</v>
      </c>
      <c r="H161" s="25" t="s">
        <v>108</v>
      </c>
      <c r="I161">
        <v>33.945</v>
      </c>
      <c r="J161" s="1">
        <v>45259</v>
      </c>
      <c r="K161" t="s">
        <v>109</v>
      </c>
      <c r="L161">
        <v>2221.02</v>
      </c>
      <c r="M161">
        <v>0</v>
      </c>
      <c r="N161">
        <v>65.427000000000007</v>
      </c>
      <c r="O161" t="s">
        <v>103</v>
      </c>
      <c r="Q161" t="s">
        <v>113</v>
      </c>
    </row>
    <row r="162" spans="1:17">
      <c r="A162" t="s">
        <v>14</v>
      </c>
      <c r="B162" t="s">
        <v>15</v>
      </c>
      <c r="C162" s="1">
        <v>45284</v>
      </c>
      <c r="D162">
        <v>161004272</v>
      </c>
      <c r="E162" t="s">
        <v>119</v>
      </c>
      <c r="F162" t="s">
        <v>110</v>
      </c>
      <c r="G162" t="s">
        <v>120</v>
      </c>
      <c r="H162" s="25" t="s">
        <v>112</v>
      </c>
      <c r="I162">
        <v>29.342199999999998</v>
      </c>
      <c r="J162" s="1">
        <v>45286</v>
      </c>
      <c r="K162" t="s">
        <v>102</v>
      </c>
      <c r="L162">
        <v>5000</v>
      </c>
      <c r="M162">
        <v>0</v>
      </c>
      <c r="N162">
        <v>170.39500000000001</v>
      </c>
      <c r="O162" t="s">
        <v>103</v>
      </c>
      <c r="Q162" t="s">
        <v>113</v>
      </c>
    </row>
    <row r="163" spans="1:17">
      <c r="A163" t="s">
        <v>14</v>
      </c>
      <c r="B163" t="s">
        <v>15</v>
      </c>
      <c r="C163" s="1">
        <v>45287</v>
      </c>
      <c r="D163">
        <v>161400740</v>
      </c>
      <c r="E163" t="s">
        <v>92</v>
      </c>
      <c r="F163" t="s">
        <v>106</v>
      </c>
      <c r="G163" t="s">
        <v>107</v>
      </c>
      <c r="H163" s="25" t="s">
        <v>108</v>
      </c>
      <c r="I163">
        <v>35.997</v>
      </c>
      <c r="J163" s="1">
        <v>45287</v>
      </c>
      <c r="K163" t="s">
        <v>109</v>
      </c>
      <c r="L163">
        <v>2428.9899999999998</v>
      </c>
      <c r="M163">
        <v>0</v>
      </c>
      <c r="N163">
        <v>67.474000000000004</v>
      </c>
      <c r="O163" t="s">
        <v>103</v>
      </c>
      <c r="Q163" t="s">
        <v>113</v>
      </c>
    </row>
    <row r="164" spans="1:17">
      <c r="A164" t="s">
        <v>14</v>
      </c>
      <c r="B164" t="s">
        <v>15</v>
      </c>
      <c r="C164" s="1">
        <v>45288</v>
      </c>
      <c r="D164">
        <v>161368333</v>
      </c>
      <c r="E164" t="s">
        <v>119</v>
      </c>
      <c r="F164" t="s">
        <v>106</v>
      </c>
      <c r="G164" t="s">
        <v>107</v>
      </c>
      <c r="H164" s="25" t="s">
        <v>108</v>
      </c>
      <c r="I164">
        <v>36.296999999999997</v>
      </c>
      <c r="J164" s="1">
        <v>45288</v>
      </c>
      <c r="K164" t="s">
        <v>109</v>
      </c>
      <c r="L164">
        <v>5000</v>
      </c>
      <c r="M164">
        <v>0</v>
      </c>
      <c r="N164">
        <v>137.74600000000001</v>
      </c>
      <c r="O164" t="s">
        <v>103</v>
      </c>
      <c r="Q164" t="s">
        <v>113</v>
      </c>
    </row>
    <row r="165" spans="1:17">
      <c r="A165" t="s">
        <v>14</v>
      </c>
      <c r="B165" t="s">
        <v>15</v>
      </c>
      <c r="C165" s="1">
        <v>45315</v>
      </c>
      <c r="D165">
        <v>163135403</v>
      </c>
      <c r="E165" t="s">
        <v>119</v>
      </c>
      <c r="F165" t="s">
        <v>110</v>
      </c>
      <c r="G165" t="s">
        <v>120</v>
      </c>
      <c r="H165" s="25" t="s">
        <v>112</v>
      </c>
      <c r="I165">
        <v>29.647300000000001</v>
      </c>
      <c r="J165" s="1">
        <v>45315</v>
      </c>
      <c r="K165" t="s">
        <v>102</v>
      </c>
      <c r="L165">
        <v>5000</v>
      </c>
      <c r="M165">
        <v>0</v>
      </c>
      <c r="N165">
        <v>168.64099999999999</v>
      </c>
      <c r="O165" t="s">
        <v>103</v>
      </c>
      <c r="Q165" t="s">
        <v>113</v>
      </c>
    </row>
    <row r="166" spans="1:17">
      <c r="A166" t="s">
        <v>14</v>
      </c>
      <c r="B166" t="s">
        <v>15</v>
      </c>
      <c r="C166" s="1">
        <v>45317</v>
      </c>
      <c r="D166">
        <v>163330344</v>
      </c>
      <c r="E166" t="s">
        <v>92</v>
      </c>
      <c r="F166" t="s">
        <v>106</v>
      </c>
      <c r="G166" t="s">
        <v>107</v>
      </c>
      <c r="H166" s="25" t="s">
        <v>108</v>
      </c>
      <c r="I166">
        <v>36.756</v>
      </c>
      <c r="J166" s="1">
        <v>45317</v>
      </c>
      <c r="K166" t="s">
        <v>109</v>
      </c>
      <c r="L166">
        <v>2475.3000000000002</v>
      </c>
      <c r="M166">
        <v>0</v>
      </c>
      <c r="N166">
        <v>67.340999999999994</v>
      </c>
      <c r="O166" t="s">
        <v>103</v>
      </c>
      <c r="Q166" t="s">
        <v>113</v>
      </c>
    </row>
    <row r="167" spans="1:17">
      <c r="A167" t="s">
        <v>14</v>
      </c>
      <c r="B167" t="s">
        <v>15</v>
      </c>
      <c r="C167" s="1">
        <v>45319</v>
      </c>
      <c r="D167">
        <v>163378075</v>
      </c>
      <c r="E167" t="s">
        <v>119</v>
      </c>
      <c r="F167" t="s">
        <v>106</v>
      </c>
      <c r="G167" t="s">
        <v>107</v>
      </c>
      <c r="H167" s="25" t="s">
        <v>108</v>
      </c>
      <c r="I167">
        <v>37.292999999999999</v>
      </c>
      <c r="J167" s="1">
        <v>45320</v>
      </c>
      <c r="K167" t="s">
        <v>109</v>
      </c>
      <c r="L167">
        <v>5000</v>
      </c>
      <c r="M167">
        <v>0</v>
      </c>
      <c r="N167">
        <v>134.06700000000001</v>
      </c>
      <c r="O167" t="s">
        <v>103</v>
      </c>
      <c r="Q167" t="s">
        <v>113</v>
      </c>
    </row>
    <row r="168" spans="1:17">
      <c r="A168" t="s">
        <v>14</v>
      </c>
      <c r="B168" t="s">
        <v>15</v>
      </c>
      <c r="C168" s="1">
        <v>45346</v>
      </c>
      <c r="D168">
        <v>165206509</v>
      </c>
      <c r="E168" t="s">
        <v>119</v>
      </c>
      <c r="F168" t="s">
        <v>110</v>
      </c>
      <c r="G168" t="s">
        <v>120</v>
      </c>
      <c r="H168" s="25" t="s">
        <v>112</v>
      </c>
      <c r="I168">
        <v>30.441199999999998</v>
      </c>
      <c r="J168" s="1">
        <v>45348</v>
      </c>
      <c r="K168" t="s">
        <v>102</v>
      </c>
      <c r="L168">
        <v>5000</v>
      </c>
      <c r="M168">
        <v>0</v>
      </c>
      <c r="N168">
        <v>164.24299999999999</v>
      </c>
      <c r="O168" t="s">
        <v>103</v>
      </c>
      <c r="Q168" t="s">
        <v>113</v>
      </c>
    </row>
    <row r="169" spans="1:17">
      <c r="A169" t="s">
        <v>14</v>
      </c>
      <c r="B169" t="s">
        <v>15</v>
      </c>
      <c r="C169" s="1">
        <v>45349</v>
      </c>
      <c r="D169">
        <v>165451666</v>
      </c>
      <c r="E169" t="s">
        <v>92</v>
      </c>
      <c r="F169" t="s">
        <v>106</v>
      </c>
      <c r="G169" t="s">
        <v>107</v>
      </c>
      <c r="H169" s="25" t="s">
        <v>108</v>
      </c>
      <c r="I169">
        <v>37.872999999999998</v>
      </c>
      <c r="J169" s="1">
        <v>45349</v>
      </c>
      <c r="K169" t="s">
        <v>109</v>
      </c>
      <c r="L169">
        <v>2520.65</v>
      </c>
      <c r="M169">
        <v>0</v>
      </c>
      <c r="N169">
        <v>66.552000000000007</v>
      </c>
      <c r="O169" t="s">
        <v>103</v>
      </c>
      <c r="Q169" t="s">
        <v>113</v>
      </c>
    </row>
    <row r="170" spans="1:17">
      <c r="A170" t="s">
        <v>14</v>
      </c>
      <c r="B170" t="s">
        <v>15</v>
      </c>
      <c r="C170" s="1">
        <v>45350</v>
      </c>
      <c r="D170">
        <v>165436176</v>
      </c>
      <c r="E170" t="s">
        <v>119</v>
      </c>
      <c r="F170" t="s">
        <v>106</v>
      </c>
      <c r="G170" t="s">
        <v>107</v>
      </c>
      <c r="H170" s="25" t="s">
        <v>108</v>
      </c>
      <c r="I170">
        <v>37.506</v>
      </c>
      <c r="J170" s="1">
        <v>45350</v>
      </c>
      <c r="K170" t="s">
        <v>109</v>
      </c>
      <c r="L170">
        <v>5000</v>
      </c>
      <c r="M170">
        <v>0</v>
      </c>
      <c r="N170">
        <v>133.30500000000001</v>
      </c>
      <c r="O170" t="s">
        <v>103</v>
      </c>
      <c r="Q170" t="s">
        <v>113</v>
      </c>
    </row>
    <row r="171" spans="1:17">
      <c r="A171" t="s">
        <v>14</v>
      </c>
      <c r="B171" t="s">
        <v>15</v>
      </c>
      <c r="C171" s="1">
        <v>45375</v>
      </c>
      <c r="D171">
        <v>167260340</v>
      </c>
      <c r="E171" t="s">
        <v>119</v>
      </c>
      <c r="F171" t="s">
        <v>110</v>
      </c>
      <c r="G171" t="s">
        <v>120</v>
      </c>
      <c r="H171" s="25" t="s">
        <v>112</v>
      </c>
      <c r="I171">
        <v>30.751100000000001</v>
      </c>
      <c r="J171" s="1">
        <v>45377</v>
      </c>
      <c r="K171" t="s">
        <v>102</v>
      </c>
      <c r="L171">
        <v>5000</v>
      </c>
      <c r="M171">
        <v>0</v>
      </c>
      <c r="N171">
        <v>162.58799999999999</v>
      </c>
      <c r="O171" t="s">
        <v>103</v>
      </c>
      <c r="Q171" t="s">
        <v>113</v>
      </c>
    </row>
    <row r="172" spans="1:17">
      <c r="A172" t="s">
        <v>14</v>
      </c>
      <c r="B172" t="s">
        <v>15</v>
      </c>
      <c r="C172" s="1">
        <v>45378</v>
      </c>
      <c r="D172">
        <v>167514442</v>
      </c>
      <c r="E172" t="s">
        <v>92</v>
      </c>
      <c r="F172" t="s">
        <v>106</v>
      </c>
      <c r="G172" t="s">
        <v>107</v>
      </c>
      <c r="H172" s="25" t="s">
        <v>108</v>
      </c>
      <c r="I172">
        <v>37.287999999999997</v>
      </c>
      <c r="J172" s="1">
        <v>45378</v>
      </c>
      <c r="K172" t="s">
        <v>109</v>
      </c>
      <c r="L172">
        <v>2565.61</v>
      </c>
      <c r="M172">
        <v>0</v>
      </c>
      <c r="N172">
        <v>68.802000000000007</v>
      </c>
      <c r="O172" t="s">
        <v>103</v>
      </c>
      <c r="Q172" t="s">
        <v>132</v>
      </c>
    </row>
    <row r="173" spans="1:17">
      <c r="A173" t="s">
        <v>14</v>
      </c>
      <c r="B173" t="s">
        <v>15</v>
      </c>
      <c r="C173" s="1">
        <v>45379</v>
      </c>
      <c r="D173">
        <v>167497059</v>
      </c>
      <c r="E173" t="s">
        <v>119</v>
      </c>
      <c r="F173" t="s">
        <v>106</v>
      </c>
      <c r="G173" t="s">
        <v>107</v>
      </c>
      <c r="H173" s="25" t="s">
        <v>108</v>
      </c>
      <c r="I173">
        <v>37.542999999999999</v>
      </c>
      <c r="J173" s="1">
        <v>45379</v>
      </c>
      <c r="K173" t="s">
        <v>109</v>
      </c>
      <c r="L173">
        <v>5000</v>
      </c>
      <c r="M173">
        <v>0</v>
      </c>
      <c r="N173">
        <v>133.17400000000001</v>
      </c>
      <c r="O173" t="s">
        <v>103</v>
      </c>
      <c r="Q173" t="s">
        <v>113</v>
      </c>
    </row>
    <row r="174" spans="1:17">
      <c r="A174" t="s">
        <v>14</v>
      </c>
      <c r="B174" t="s">
        <v>15</v>
      </c>
      <c r="C174" s="1">
        <v>45406</v>
      </c>
      <c r="D174">
        <v>169257343</v>
      </c>
      <c r="E174" t="s">
        <v>119</v>
      </c>
      <c r="F174" t="s">
        <v>110</v>
      </c>
      <c r="G174" t="s">
        <v>120</v>
      </c>
      <c r="H174" s="25" t="s">
        <v>112</v>
      </c>
      <c r="I174">
        <v>31.6236</v>
      </c>
      <c r="J174" s="1">
        <v>45406</v>
      </c>
      <c r="K174" t="s">
        <v>102</v>
      </c>
      <c r="L174">
        <v>5000</v>
      </c>
      <c r="M174">
        <v>0</v>
      </c>
      <c r="N174">
        <v>158.102</v>
      </c>
      <c r="O174" t="s">
        <v>103</v>
      </c>
      <c r="Q174" t="s">
        <v>113</v>
      </c>
    </row>
    <row r="175" spans="1:17">
      <c r="A175" t="s">
        <v>14</v>
      </c>
      <c r="B175" t="s">
        <v>15</v>
      </c>
      <c r="C175" s="1">
        <v>45408</v>
      </c>
      <c r="D175">
        <v>169532147</v>
      </c>
      <c r="E175" t="s">
        <v>92</v>
      </c>
      <c r="F175" t="s">
        <v>106</v>
      </c>
      <c r="G175" t="s">
        <v>107</v>
      </c>
      <c r="H175" s="25" t="s">
        <v>108</v>
      </c>
      <c r="I175">
        <v>38.381999999999998</v>
      </c>
      <c r="J175" s="1">
        <v>45408</v>
      </c>
      <c r="K175" t="s">
        <v>109</v>
      </c>
      <c r="L175">
        <v>2901.11</v>
      </c>
      <c r="M175">
        <v>0</v>
      </c>
      <c r="N175">
        <v>75.581000000000003</v>
      </c>
      <c r="O175" t="s">
        <v>103</v>
      </c>
      <c r="Q175" t="s">
        <v>132</v>
      </c>
    </row>
    <row r="176" spans="1:17">
      <c r="A176" t="s">
        <v>14</v>
      </c>
      <c r="B176" t="s">
        <v>15</v>
      </c>
      <c r="C176" s="1">
        <v>45410</v>
      </c>
      <c r="D176">
        <v>169501893</v>
      </c>
      <c r="E176" t="s">
        <v>119</v>
      </c>
      <c r="F176" t="s">
        <v>106</v>
      </c>
      <c r="G176" t="s">
        <v>107</v>
      </c>
      <c r="H176" s="25" t="s">
        <v>108</v>
      </c>
      <c r="I176">
        <v>38.56</v>
      </c>
      <c r="J176" s="1">
        <v>45411</v>
      </c>
      <c r="K176" t="s">
        <v>109</v>
      </c>
      <c r="L176">
        <v>5000</v>
      </c>
      <c r="M176">
        <v>0</v>
      </c>
      <c r="N176">
        <v>129.66200000000001</v>
      </c>
      <c r="O176" t="s">
        <v>103</v>
      </c>
      <c r="Q176" t="s">
        <v>113</v>
      </c>
    </row>
    <row r="177" spans="1:17">
      <c r="A177" t="s">
        <v>14</v>
      </c>
      <c r="B177" t="s">
        <v>15</v>
      </c>
      <c r="C177" s="1">
        <v>45436</v>
      </c>
      <c r="D177">
        <v>171284216</v>
      </c>
      <c r="E177" t="s">
        <v>119</v>
      </c>
      <c r="F177" t="s">
        <v>110</v>
      </c>
      <c r="G177" t="s">
        <v>120</v>
      </c>
      <c r="H177" s="25" t="s">
        <v>112</v>
      </c>
      <c r="I177">
        <v>32.159700000000001</v>
      </c>
      <c r="J177" s="1">
        <v>45436</v>
      </c>
      <c r="K177" t="s">
        <v>102</v>
      </c>
      <c r="L177">
        <v>5000</v>
      </c>
      <c r="M177">
        <v>0</v>
      </c>
      <c r="N177">
        <v>155.46600000000001</v>
      </c>
      <c r="O177" t="s">
        <v>103</v>
      </c>
      <c r="Q177" t="s">
        <v>113</v>
      </c>
    </row>
    <row r="178" spans="1:17">
      <c r="A178" t="s">
        <v>14</v>
      </c>
      <c r="B178" t="s">
        <v>15</v>
      </c>
      <c r="C178" s="1">
        <v>45440</v>
      </c>
      <c r="D178">
        <v>171516933</v>
      </c>
      <c r="E178" t="s">
        <v>119</v>
      </c>
      <c r="F178" t="s">
        <v>106</v>
      </c>
      <c r="G178" t="s">
        <v>107</v>
      </c>
      <c r="H178" s="25" t="s">
        <v>108</v>
      </c>
      <c r="I178">
        <v>39.421999999999997</v>
      </c>
      <c r="J178" s="1">
        <v>45440</v>
      </c>
      <c r="K178" t="s">
        <v>109</v>
      </c>
      <c r="L178">
        <v>5000</v>
      </c>
      <c r="M178">
        <v>0</v>
      </c>
      <c r="N178">
        <v>126.82599999999999</v>
      </c>
      <c r="O178" t="s">
        <v>103</v>
      </c>
      <c r="Q178" t="s">
        <v>113</v>
      </c>
    </row>
    <row r="179" spans="1:17">
      <c r="A179" t="s">
        <v>14</v>
      </c>
      <c r="B179" t="s">
        <v>15</v>
      </c>
      <c r="C179" s="1">
        <v>45440</v>
      </c>
      <c r="D179">
        <v>171562810</v>
      </c>
      <c r="E179" t="s">
        <v>92</v>
      </c>
      <c r="F179" t="s">
        <v>106</v>
      </c>
      <c r="G179" t="s">
        <v>107</v>
      </c>
      <c r="H179" s="25" t="s">
        <v>108</v>
      </c>
      <c r="I179">
        <v>39.579000000000001</v>
      </c>
      <c r="J179" s="1">
        <v>45440</v>
      </c>
      <c r="K179" t="s">
        <v>109</v>
      </c>
      <c r="L179">
        <v>2367.42</v>
      </c>
      <c r="M179">
        <v>0</v>
      </c>
      <c r="N179">
        <v>59.811999999999998</v>
      </c>
      <c r="O179" t="s">
        <v>103</v>
      </c>
      <c r="Q179" t="s">
        <v>132</v>
      </c>
    </row>
    <row r="180" spans="1:17">
      <c r="A180" t="s">
        <v>14</v>
      </c>
      <c r="B180" t="s">
        <v>15</v>
      </c>
      <c r="C180" s="1">
        <v>45467</v>
      </c>
      <c r="D180">
        <v>173415242</v>
      </c>
      <c r="E180" t="s">
        <v>119</v>
      </c>
      <c r="F180" t="s">
        <v>110</v>
      </c>
      <c r="G180" t="s">
        <v>120</v>
      </c>
      <c r="H180" s="25" t="s">
        <v>112</v>
      </c>
      <c r="I180">
        <v>32.520200000000003</v>
      </c>
      <c r="J180" s="1">
        <v>45467</v>
      </c>
      <c r="K180" t="s">
        <v>102</v>
      </c>
      <c r="L180">
        <v>5000</v>
      </c>
      <c r="M180">
        <v>0</v>
      </c>
      <c r="N180">
        <v>153.74299999999999</v>
      </c>
      <c r="O180" t="s">
        <v>103</v>
      </c>
      <c r="Q180" t="s">
        <v>113</v>
      </c>
    </row>
    <row r="181" spans="1:17">
      <c r="A181" t="s">
        <v>14</v>
      </c>
      <c r="B181" t="s">
        <v>15</v>
      </c>
      <c r="C181" s="1">
        <v>45469</v>
      </c>
      <c r="D181">
        <v>173646015</v>
      </c>
      <c r="E181" t="s">
        <v>92</v>
      </c>
      <c r="F181" t="s">
        <v>106</v>
      </c>
      <c r="G181" t="s">
        <v>107</v>
      </c>
      <c r="H181" s="25" t="s">
        <v>108</v>
      </c>
      <c r="I181">
        <v>40.042999999999999</v>
      </c>
      <c r="J181" s="1">
        <v>45469</v>
      </c>
      <c r="K181" t="s">
        <v>109</v>
      </c>
      <c r="L181">
        <v>2699.08</v>
      </c>
      <c r="M181">
        <v>0</v>
      </c>
      <c r="N181">
        <v>67.400999999999996</v>
      </c>
      <c r="O181" t="s">
        <v>103</v>
      </c>
      <c r="Q181" t="s">
        <v>132</v>
      </c>
    </row>
    <row r="182" spans="1:17">
      <c r="A182" t="s">
        <v>14</v>
      </c>
      <c r="B182" t="s">
        <v>15</v>
      </c>
      <c r="C182" s="1">
        <v>45471</v>
      </c>
      <c r="D182">
        <v>173703320</v>
      </c>
      <c r="E182" t="s">
        <v>119</v>
      </c>
      <c r="F182" t="s">
        <v>106</v>
      </c>
      <c r="G182" t="s">
        <v>107</v>
      </c>
      <c r="H182" s="25" t="s">
        <v>108</v>
      </c>
      <c r="I182">
        <v>40.264000000000003</v>
      </c>
      <c r="J182" s="1">
        <v>45471</v>
      </c>
      <c r="K182" t="s">
        <v>109</v>
      </c>
      <c r="L182">
        <v>5000</v>
      </c>
      <c r="M182">
        <v>0</v>
      </c>
      <c r="N182">
        <v>124.17400000000001</v>
      </c>
      <c r="O182" t="s">
        <v>103</v>
      </c>
      <c r="Q182" t="s">
        <v>113</v>
      </c>
    </row>
    <row r="183" spans="1:17">
      <c r="A183" t="s">
        <v>14</v>
      </c>
      <c r="B183" t="s">
        <v>15</v>
      </c>
      <c r="C183" s="1">
        <v>45497</v>
      </c>
      <c r="D183">
        <v>175710457</v>
      </c>
      <c r="E183" t="s">
        <v>119</v>
      </c>
      <c r="F183" t="s">
        <v>110</v>
      </c>
      <c r="G183" t="s">
        <v>120</v>
      </c>
      <c r="H183" s="25" t="s">
        <v>112</v>
      </c>
      <c r="I183">
        <v>33.066299999999998</v>
      </c>
      <c r="J183" s="1">
        <v>45497</v>
      </c>
      <c r="K183" t="s">
        <v>102</v>
      </c>
      <c r="L183">
        <v>5000</v>
      </c>
      <c r="M183">
        <v>0</v>
      </c>
      <c r="N183">
        <v>151.20400000000001</v>
      </c>
      <c r="O183" t="s">
        <v>103</v>
      </c>
      <c r="Q183" t="s">
        <v>113</v>
      </c>
    </row>
    <row r="184" spans="1:17">
      <c r="A184" t="s">
        <v>14</v>
      </c>
      <c r="B184" t="s">
        <v>15</v>
      </c>
      <c r="C184" s="1">
        <v>45499</v>
      </c>
      <c r="D184">
        <v>175942874</v>
      </c>
      <c r="E184" t="s">
        <v>92</v>
      </c>
      <c r="F184" t="s">
        <v>106</v>
      </c>
      <c r="G184" t="s">
        <v>107</v>
      </c>
      <c r="H184" s="25" t="s">
        <v>108</v>
      </c>
      <c r="I184">
        <v>40.773000000000003</v>
      </c>
      <c r="J184" s="1">
        <v>45499</v>
      </c>
      <c r="K184" t="s">
        <v>109</v>
      </c>
      <c r="L184">
        <v>2741.97</v>
      </c>
      <c r="M184">
        <v>0</v>
      </c>
      <c r="N184">
        <v>67.245999999999995</v>
      </c>
      <c r="O184" t="s">
        <v>103</v>
      </c>
      <c r="Q184" t="s">
        <v>132</v>
      </c>
    </row>
    <row r="185" spans="1:17">
      <c r="A185" t="s">
        <v>14</v>
      </c>
      <c r="B185" t="s">
        <v>15</v>
      </c>
      <c r="C185" s="1">
        <v>45501</v>
      </c>
      <c r="D185">
        <v>175985890</v>
      </c>
      <c r="E185" t="s">
        <v>119</v>
      </c>
      <c r="F185" t="s">
        <v>106</v>
      </c>
      <c r="G185" t="s">
        <v>107</v>
      </c>
      <c r="H185" s="25" t="s">
        <v>108</v>
      </c>
      <c r="I185">
        <v>41.29</v>
      </c>
      <c r="J185" s="1">
        <v>45502</v>
      </c>
      <c r="K185" t="s">
        <v>109</v>
      </c>
      <c r="L185">
        <v>5000</v>
      </c>
      <c r="M185">
        <v>0</v>
      </c>
      <c r="N185">
        <v>121.089</v>
      </c>
      <c r="O185" t="s">
        <v>103</v>
      </c>
      <c r="Q185" t="s">
        <v>113</v>
      </c>
    </row>
    <row r="186" spans="1:17">
      <c r="A186" t="s">
        <v>14</v>
      </c>
      <c r="B186" t="s">
        <v>15</v>
      </c>
      <c r="C186" s="1">
        <v>45528</v>
      </c>
      <c r="D186">
        <v>178291568</v>
      </c>
      <c r="E186" t="s">
        <v>119</v>
      </c>
      <c r="F186" t="s">
        <v>110</v>
      </c>
      <c r="G186" t="s">
        <v>120</v>
      </c>
      <c r="H186" s="25" t="s">
        <v>112</v>
      </c>
      <c r="I186">
        <v>33.565899999999999</v>
      </c>
      <c r="J186" s="1">
        <v>45530</v>
      </c>
      <c r="K186" t="s">
        <v>102</v>
      </c>
      <c r="L186">
        <v>5000</v>
      </c>
      <c r="M186">
        <v>0</v>
      </c>
      <c r="N186">
        <v>148.953</v>
      </c>
      <c r="O186" t="s">
        <v>103</v>
      </c>
      <c r="Q186" t="s">
        <v>113</v>
      </c>
    </row>
    <row r="187" spans="1:17">
      <c r="A187" t="s">
        <v>14</v>
      </c>
      <c r="B187" t="s">
        <v>15</v>
      </c>
      <c r="C187" s="1">
        <v>45531</v>
      </c>
      <c r="D187">
        <v>178558171</v>
      </c>
      <c r="E187" t="s">
        <v>92</v>
      </c>
      <c r="F187" t="s">
        <v>106</v>
      </c>
      <c r="G187" t="s">
        <v>107</v>
      </c>
      <c r="H187" s="25" t="s">
        <v>108</v>
      </c>
      <c r="I187">
        <v>41.13</v>
      </c>
      <c r="J187" s="1">
        <v>45531</v>
      </c>
      <c r="K187" t="s">
        <v>109</v>
      </c>
      <c r="L187">
        <v>2785.05</v>
      </c>
      <c r="M187">
        <v>0</v>
      </c>
      <c r="N187">
        <v>67.709999999999994</v>
      </c>
      <c r="O187" t="s">
        <v>103</v>
      </c>
      <c r="Q187" t="s">
        <v>132</v>
      </c>
    </row>
    <row r="188" spans="1:17">
      <c r="A188" t="s">
        <v>14</v>
      </c>
      <c r="B188" t="s">
        <v>15</v>
      </c>
      <c r="C188" s="1">
        <v>45532</v>
      </c>
      <c r="D188">
        <v>178541553</v>
      </c>
      <c r="E188" t="s">
        <v>119</v>
      </c>
      <c r="F188" t="s">
        <v>106</v>
      </c>
      <c r="G188" t="s">
        <v>107</v>
      </c>
      <c r="H188" s="25" t="s">
        <v>108</v>
      </c>
      <c r="I188">
        <v>41.220999999999997</v>
      </c>
      <c r="J188" s="1">
        <v>45532</v>
      </c>
      <c r="K188" t="s">
        <v>109</v>
      </c>
      <c r="L188">
        <v>5000</v>
      </c>
      <c r="M188">
        <v>0</v>
      </c>
      <c r="N188">
        <v>121.291</v>
      </c>
      <c r="O188" t="s">
        <v>103</v>
      </c>
      <c r="Q188" t="s">
        <v>113</v>
      </c>
    </row>
    <row r="189" spans="1:17">
      <c r="A189" t="s">
        <v>14</v>
      </c>
      <c r="B189" t="s">
        <v>15</v>
      </c>
      <c r="C189" s="1">
        <v>45559</v>
      </c>
      <c r="D189">
        <v>180431850</v>
      </c>
      <c r="E189" t="s">
        <v>119</v>
      </c>
      <c r="F189" t="s">
        <v>110</v>
      </c>
      <c r="G189" t="s">
        <v>120</v>
      </c>
      <c r="H189" s="25" t="s">
        <v>112</v>
      </c>
      <c r="I189">
        <v>34.338799999999999</v>
      </c>
      <c r="J189" s="1">
        <v>45559</v>
      </c>
      <c r="K189" t="s">
        <v>102</v>
      </c>
      <c r="L189">
        <v>5000</v>
      </c>
      <c r="M189">
        <v>0</v>
      </c>
      <c r="N189">
        <v>145.601</v>
      </c>
      <c r="O189" t="s">
        <v>103</v>
      </c>
      <c r="Q189" t="s">
        <v>113</v>
      </c>
    </row>
    <row r="190" spans="1:17">
      <c r="A190" t="s">
        <v>14</v>
      </c>
      <c r="B190" t="s">
        <v>15</v>
      </c>
      <c r="C190" s="1">
        <v>45561</v>
      </c>
      <c r="D190">
        <v>180659454</v>
      </c>
      <c r="E190" t="s">
        <v>92</v>
      </c>
      <c r="F190" t="s">
        <v>106</v>
      </c>
      <c r="G190" t="s">
        <v>107</v>
      </c>
      <c r="H190" s="25" t="s">
        <v>108</v>
      </c>
      <c r="I190">
        <v>41.31</v>
      </c>
      <c r="J190" s="1">
        <v>45561</v>
      </c>
      <c r="K190" t="s">
        <v>109</v>
      </c>
      <c r="L190">
        <v>2827.3</v>
      </c>
      <c r="M190">
        <v>0</v>
      </c>
      <c r="N190">
        <v>68.438000000000002</v>
      </c>
      <c r="O190" t="s">
        <v>103</v>
      </c>
      <c r="Q190" t="s">
        <v>132</v>
      </c>
    </row>
    <row r="191" spans="1:17">
      <c r="A191" t="s">
        <v>14</v>
      </c>
      <c r="B191" t="s">
        <v>15</v>
      </c>
      <c r="C191" s="1">
        <v>45563</v>
      </c>
      <c r="D191">
        <v>180713739</v>
      </c>
      <c r="E191" t="s">
        <v>119</v>
      </c>
      <c r="F191" t="s">
        <v>106</v>
      </c>
      <c r="G191" t="s">
        <v>107</v>
      </c>
      <c r="H191" s="25" t="s">
        <v>108</v>
      </c>
      <c r="I191">
        <v>41.247999999999998</v>
      </c>
      <c r="J191" s="1">
        <v>45565</v>
      </c>
      <c r="K191" t="s">
        <v>109</v>
      </c>
      <c r="L191">
        <v>5000</v>
      </c>
      <c r="M191">
        <v>0</v>
      </c>
      <c r="N191">
        <v>121.212</v>
      </c>
      <c r="O191" t="s">
        <v>103</v>
      </c>
      <c r="Q191" t="s">
        <v>113</v>
      </c>
    </row>
    <row r="192" spans="1:17">
      <c r="A192" t="s">
        <v>14</v>
      </c>
      <c r="B192" t="s">
        <v>15</v>
      </c>
      <c r="C192" s="1">
        <v>45589</v>
      </c>
      <c r="D192">
        <v>182670308</v>
      </c>
      <c r="E192" t="s">
        <v>119</v>
      </c>
      <c r="F192" t="s">
        <v>110</v>
      </c>
      <c r="G192" t="s">
        <v>120</v>
      </c>
      <c r="H192" s="25" t="s">
        <v>112</v>
      </c>
      <c r="I192">
        <v>33.473300000000002</v>
      </c>
      <c r="J192" s="1">
        <v>45589</v>
      </c>
      <c r="K192" t="s">
        <v>102</v>
      </c>
      <c r="L192">
        <v>5000</v>
      </c>
      <c r="M192">
        <v>0</v>
      </c>
      <c r="N192">
        <v>149.36500000000001</v>
      </c>
      <c r="O192" t="s">
        <v>103</v>
      </c>
      <c r="Q192" t="s">
        <v>113</v>
      </c>
    </row>
    <row r="193" spans="1:17">
      <c r="A193" t="s">
        <v>14</v>
      </c>
      <c r="B193" t="s">
        <v>15</v>
      </c>
      <c r="C193" s="1">
        <v>45591</v>
      </c>
      <c r="D193">
        <v>182946817</v>
      </c>
      <c r="E193" t="s">
        <v>92</v>
      </c>
      <c r="F193" t="s">
        <v>106</v>
      </c>
      <c r="G193" t="s">
        <v>107</v>
      </c>
      <c r="H193" s="25" t="s">
        <v>108</v>
      </c>
      <c r="I193">
        <v>39.661000000000001</v>
      </c>
      <c r="J193" s="1">
        <v>45591</v>
      </c>
      <c r="K193" t="s">
        <v>109</v>
      </c>
      <c r="L193">
        <v>2869.72</v>
      </c>
      <c r="M193">
        <v>0</v>
      </c>
      <c r="N193">
        <v>72.352999999999994</v>
      </c>
      <c r="O193" t="s">
        <v>103</v>
      </c>
      <c r="Q193" t="s">
        <v>132</v>
      </c>
    </row>
    <row r="194" spans="1:17">
      <c r="A194" t="s">
        <v>14</v>
      </c>
      <c r="B194" t="s">
        <v>15</v>
      </c>
      <c r="C194" s="1">
        <v>45593</v>
      </c>
      <c r="D194">
        <v>182917941</v>
      </c>
      <c r="E194" t="s">
        <v>119</v>
      </c>
      <c r="F194" t="s">
        <v>106</v>
      </c>
      <c r="G194" t="s">
        <v>107</v>
      </c>
      <c r="H194" s="25" t="s">
        <v>108</v>
      </c>
      <c r="I194">
        <v>39.770000000000003</v>
      </c>
      <c r="J194" s="1">
        <v>45593</v>
      </c>
      <c r="K194" t="s">
        <v>109</v>
      </c>
      <c r="L194">
        <v>5000</v>
      </c>
      <c r="M194">
        <v>0</v>
      </c>
      <c r="N194">
        <v>125.717</v>
      </c>
      <c r="O194" t="s">
        <v>103</v>
      </c>
      <c r="Q194" t="s">
        <v>113</v>
      </c>
    </row>
    <row r="195" spans="1:17">
      <c r="A195" t="s">
        <v>14</v>
      </c>
      <c r="B195" t="s">
        <v>15</v>
      </c>
      <c r="C195" s="1">
        <v>45620</v>
      </c>
      <c r="D195">
        <v>184820487</v>
      </c>
      <c r="E195" t="s">
        <v>119</v>
      </c>
      <c r="F195" t="s">
        <v>110</v>
      </c>
      <c r="G195" t="s">
        <v>120</v>
      </c>
      <c r="H195" s="25" t="s">
        <v>112</v>
      </c>
      <c r="I195">
        <v>32.788400000000003</v>
      </c>
      <c r="J195" s="1">
        <v>45621</v>
      </c>
      <c r="K195" t="s">
        <v>102</v>
      </c>
      <c r="L195">
        <v>5000</v>
      </c>
      <c r="M195">
        <v>0</v>
      </c>
      <c r="N195">
        <v>152.48500000000001</v>
      </c>
      <c r="O195" t="s">
        <v>103</v>
      </c>
      <c r="Q195" t="s">
        <v>113</v>
      </c>
    </row>
    <row r="196" spans="1:17">
      <c r="A196" t="s">
        <v>14</v>
      </c>
      <c r="B196" t="s">
        <v>15</v>
      </c>
      <c r="C196" s="1">
        <v>45622</v>
      </c>
      <c r="D196">
        <v>185024974</v>
      </c>
      <c r="E196" t="s">
        <v>92</v>
      </c>
      <c r="F196" t="s">
        <v>106</v>
      </c>
      <c r="G196" t="s">
        <v>107</v>
      </c>
      <c r="H196" s="25" t="s">
        <v>108</v>
      </c>
      <c r="I196">
        <v>39.564999999999998</v>
      </c>
      <c r="J196" s="1">
        <v>45622</v>
      </c>
      <c r="K196" t="s">
        <v>109</v>
      </c>
      <c r="L196">
        <v>2914.23</v>
      </c>
      <c r="M196">
        <v>0</v>
      </c>
      <c r="N196">
        <v>73.653000000000006</v>
      </c>
      <c r="O196" t="s">
        <v>103</v>
      </c>
      <c r="Q196" t="s">
        <v>132</v>
      </c>
    </row>
    <row r="197" spans="1:17">
      <c r="A197" t="s">
        <v>14</v>
      </c>
      <c r="B197" t="s">
        <v>15</v>
      </c>
      <c r="C197" s="1">
        <v>45624</v>
      </c>
      <c r="D197">
        <v>185080050</v>
      </c>
      <c r="E197" t="s">
        <v>119</v>
      </c>
      <c r="F197" t="s">
        <v>106</v>
      </c>
      <c r="G197" t="s">
        <v>107</v>
      </c>
      <c r="H197" s="25" t="s">
        <v>108</v>
      </c>
      <c r="I197">
        <v>39.551000000000002</v>
      </c>
      <c r="J197" s="1">
        <v>45624</v>
      </c>
      <c r="K197" t="s">
        <v>109</v>
      </c>
      <c r="L197">
        <v>5000</v>
      </c>
      <c r="M197">
        <v>0</v>
      </c>
      <c r="N197">
        <v>126.413</v>
      </c>
      <c r="O197" t="s">
        <v>103</v>
      </c>
      <c r="Q197" t="s">
        <v>113</v>
      </c>
    </row>
    <row r="198" spans="1:17">
      <c r="A198" t="s">
        <v>14</v>
      </c>
      <c r="B198" t="s">
        <v>15</v>
      </c>
      <c r="C198" s="1">
        <v>45650</v>
      </c>
      <c r="D198">
        <v>187013594</v>
      </c>
      <c r="E198" t="s">
        <v>119</v>
      </c>
      <c r="F198" t="s">
        <v>110</v>
      </c>
      <c r="G198" t="s">
        <v>120</v>
      </c>
      <c r="H198" s="25" t="s">
        <v>112</v>
      </c>
      <c r="I198">
        <v>32.419699999999999</v>
      </c>
      <c r="J198" s="1">
        <v>45650</v>
      </c>
      <c r="K198" t="s">
        <v>102</v>
      </c>
      <c r="L198">
        <v>5000</v>
      </c>
      <c r="M198">
        <v>0</v>
      </c>
      <c r="N198">
        <v>154.22</v>
      </c>
      <c r="O198" t="s">
        <v>103</v>
      </c>
      <c r="Q198" t="s">
        <v>113</v>
      </c>
    </row>
    <row r="199" spans="1:17">
      <c r="A199" t="s">
        <v>14</v>
      </c>
      <c r="B199" t="s">
        <v>15</v>
      </c>
      <c r="C199" s="1">
        <v>45653</v>
      </c>
      <c r="D199">
        <v>187285894</v>
      </c>
      <c r="E199" t="s">
        <v>92</v>
      </c>
      <c r="F199" t="s">
        <v>106</v>
      </c>
      <c r="G199" t="s">
        <v>107</v>
      </c>
      <c r="H199" s="25" t="s">
        <v>108</v>
      </c>
      <c r="I199">
        <v>39.28</v>
      </c>
      <c r="J199" s="1">
        <v>45653</v>
      </c>
      <c r="K199" t="s">
        <v>109</v>
      </c>
      <c r="L199">
        <v>2959.25</v>
      </c>
      <c r="M199">
        <v>0</v>
      </c>
      <c r="N199">
        <v>75.334000000000003</v>
      </c>
      <c r="O199" t="s">
        <v>103</v>
      </c>
      <c r="Q199" t="s">
        <v>132</v>
      </c>
    </row>
    <row r="200" spans="1:17">
      <c r="A200" t="s">
        <v>14</v>
      </c>
      <c r="B200" t="s">
        <v>15</v>
      </c>
      <c r="C200" s="1">
        <v>45654</v>
      </c>
      <c r="D200">
        <v>187265224</v>
      </c>
      <c r="E200" t="s">
        <v>119</v>
      </c>
      <c r="F200" t="s">
        <v>106</v>
      </c>
      <c r="G200" t="s">
        <v>107</v>
      </c>
      <c r="H200" s="25" t="s">
        <v>108</v>
      </c>
      <c r="I200">
        <v>39.140999999999998</v>
      </c>
      <c r="J200" s="1">
        <v>45656</v>
      </c>
      <c r="K200" t="s">
        <v>109</v>
      </c>
      <c r="L200">
        <v>5000</v>
      </c>
      <c r="M200">
        <v>0</v>
      </c>
      <c r="N200">
        <v>127.73699999999999</v>
      </c>
      <c r="O200" t="s">
        <v>103</v>
      </c>
      <c r="Q200" t="s">
        <v>113</v>
      </c>
    </row>
    <row r="201" spans="1:17">
      <c r="A201" t="s">
        <v>14</v>
      </c>
      <c r="B201" t="s">
        <v>15</v>
      </c>
      <c r="C201" s="1">
        <v>45681</v>
      </c>
      <c r="D201">
        <v>189188517</v>
      </c>
      <c r="E201" t="s">
        <v>119</v>
      </c>
      <c r="F201" t="s">
        <v>110</v>
      </c>
      <c r="G201" t="s">
        <v>120</v>
      </c>
      <c r="H201" s="25" t="s">
        <v>112</v>
      </c>
      <c r="I201">
        <v>32.434199999999997</v>
      </c>
      <c r="J201" s="1">
        <v>45681</v>
      </c>
      <c r="K201" t="s">
        <v>102</v>
      </c>
      <c r="L201">
        <v>5000</v>
      </c>
      <c r="M201">
        <v>0</v>
      </c>
      <c r="N201">
        <v>154.15100000000001</v>
      </c>
      <c r="O201" t="s">
        <v>103</v>
      </c>
      <c r="Q201" t="s">
        <v>113</v>
      </c>
    </row>
    <row r="202" spans="1:17">
      <c r="A202" t="s">
        <v>14</v>
      </c>
      <c r="B202" t="s">
        <v>15</v>
      </c>
      <c r="C202" s="1">
        <v>45685</v>
      </c>
      <c r="D202">
        <v>189422817</v>
      </c>
      <c r="E202" t="s">
        <v>119</v>
      </c>
      <c r="F202" t="s">
        <v>106</v>
      </c>
      <c r="G202" t="s">
        <v>107</v>
      </c>
      <c r="H202" s="25" t="s">
        <v>108</v>
      </c>
      <c r="I202">
        <v>37.485999999999997</v>
      </c>
      <c r="J202" s="1">
        <v>45685</v>
      </c>
      <c r="K202" t="s">
        <v>109</v>
      </c>
      <c r="L202">
        <v>5000</v>
      </c>
      <c r="M202">
        <v>0</v>
      </c>
      <c r="N202">
        <v>133.376</v>
      </c>
      <c r="O202" t="s">
        <v>103</v>
      </c>
      <c r="Q202" t="s">
        <v>113</v>
      </c>
    </row>
    <row r="203" spans="1:17">
      <c r="A203" t="s">
        <v>14</v>
      </c>
      <c r="B203" t="s">
        <v>15</v>
      </c>
      <c r="C203" s="1">
        <v>45685</v>
      </c>
      <c r="D203">
        <v>189474099</v>
      </c>
      <c r="E203" t="s">
        <v>92</v>
      </c>
      <c r="F203" t="s">
        <v>106</v>
      </c>
      <c r="G203" t="s">
        <v>107</v>
      </c>
      <c r="H203" s="25" t="s">
        <v>108</v>
      </c>
      <c r="I203">
        <v>37.533000000000001</v>
      </c>
      <c r="J203" s="1">
        <v>45685</v>
      </c>
      <c r="K203" t="s">
        <v>109</v>
      </c>
      <c r="L203">
        <v>3005.02</v>
      </c>
      <c r="M203">
        <v>0</v>
      </c>
      <c r="N203">
        <v>80.058999999999997</v>
      </c>
      <c r="O203" t="s">
        <v>103</v>
      </c>
      <c r="Q203" t="s">
        <v>132</v>
      </c>
    </row>
    <row r="204" spans="1:17">
      <c r="A204" t="s">
        <v>14</v>
      </c>
      <c r="B204" t="s">
        <v>15</v>
      </c>
      <c r="C204" s="1">
        <v>45712</v>
      </c>
      <c r="D204">
        <v>191321206</v>
      </c>
      <c r="E204" t="s">
        <v>119</v>
      </c>
      <c r="F204" t="s">
        <v>110</v>
      </c>
      <c r="G204" t="s">
        <v>120</v>
      </c>
      <c r="H204" s="25" t="s">
        <v>112</v>
      </c>
      <c r="I204">
        <v>32.341000000000001</v>
      </c>
      <c r="J204" s="1">
        <v>45712</v>
      </c>
      <c r="K204" t="s">
        <v>102</v>
      </c>
      <c r="L204">
        <v>5000</v>
      </c>
      <c r="M204">
        <v>0</v>
      </c>
      <c r="N204">
        <v>154.595</v>
      </c>
      <c r="O204" t="s">
        <v>103</v>
      </c>
      <c r="Q204" t="s">
        <v>113</v>
      </c>
    </row>
    <row r="205" spans="1:17">
      <c r="A205" t="s">
        <v>14</v>
      </c>
      <c r="B205" t="s">
        <v>15</v>
      </c>
      <c r="C205" s="1">
        <v>45714</v>
      </c>
      <c r="D205">
        <v>191527588</v>
      </c>
      <c r="E205" t="s">
        <v>92</v>
      </c>
      <c r="F205" t="s">
        <v>106</v>
      </c>
      <c r="G205" t="s">
        <v>107</v>
      </c>
      <c r="H205" s="25" t="s">
        <v>108</v>
      </c>
      <c r="I205">
        <v>36.738</v>
      </c>
      <c r="J205" s="1">
        <v>45714</v>
      </c>
      <c r="K205" t="s">
        <v>109</v>
      </c>
      <c r="L205">
        <v>3053.38</v>
      </c>
      <c r="M205">
        <v>0</v>
      </c>
      <c r="N205">
        <v>83.108000000000004</v>
      </c>
      <c r="O205" t="s">
        <v>103</v>
      </c>
      <c r="Q205" t="s">
        <v>132</v>
      </c>
    </row>
    <row r="206" spans="1:17">
      <c r="A206" t="s">
        <v>14</v>
      </c>
      <c r="B206" t="s">
        <v>15</v>
      </c>
      <c r="C206" s="1">
        <v>45716</v>
      </c>
      <c r="D206">
        <v>191591958</v>
      </c>
      <c r="E206" t="s">
        <v>119</v>
      </c>
      <c r="F206" t="s">
        <v>106</v>
      </c>
      <c r="G206" t="s">
        <v>107</v>
      </c>
      <c r="H206" s="25" t="s">
        <v>108</v>
      </c>
      <c r="I206">
        <v>36.280999999999999</v>
      </c>
      <c r="J206" s="1">
        <v>45716</v>
      </c>
      <c r="K206" t="s">
        <v>109</v>
      </c>
      <c r="L206">
        <v>5000</v>
      </c>
      <c r="M206">
        <v>0</v>
      </c>
      <c r="N206">
        <v>137.80600000000001</v>
      </c>
      <c r="O206" t="s">
        <v>103</v>
      </c>
      <c r="Q206" t="s">
        <v>113</v>
      </c>
    </row>
    <row r="207" spans="1:17">
      <c r="A207" t="s">
        <v>14</v>
      </c>
      <c r="B207" t="s">
        <v>15</v>
      </c>
      <c r="C207" s="1">
        <v>45740</v>
      </c>
      <c r="D207">
        <v>193344011</v>
      </c>
      <c r="E207" t="s">
        <v>119</v>
      </c>
      <c r="F207" t="s">
        <v>110</v>
      </c>
      <c r="G207" t="s">
        <v>120</v>
      </c>
      <c r="H207" s="25" t="s">
        <v>112</v>
      </c>
      <c r="I207">
        <v>33.1008</v>
      </c>
      <c r="J207" s="1">
        <v>45740</v>
      </c>
      <c r="K207" t="s">
        <v>102</v>
      </c>
      <c r="L207">
        <v>5000</v>
      </c>
      <c r="M207">
        <v>0</v>
      </c>
      <c r="N207">
        <v>151.04599999999999</v>
      </c>
      <c r="O207" t="s">
        <v>103</v>
      </c>
      <c r="Q207" t="s">
        <v>113</v>
      </c>
    </row>
    <row r="208" spans="1:17">
      <c r="A208" t="s">
        <v>14</v>
      </c>
      <c r="B208" t="s">
        <v>15</v>
      </c>
      <c r="C208" s="1">
        <v>45742</v>
      </c>
      <c r="D208">
        <v>193557590</v>
      </c>
      <c r="E208" t="s">
        <v>92</v>
      </c>
      <c r="F208" t="s">
        <v>106</v>
      </c>
      <c r="G208" t="s">
        <v>107</v>
      </c>
      <c r="H208" s="25" t="s">
        <v>108</v>
      </c>
      <c r="I208">
        <v>37.875</v>
      </c>
      <c r="J208" s="1">
        <v>45742</v>
      </c>
      <c r="K208" t="s">
        <v>109</v>
      </c>
      <c r="L208">
        <v>3102.61</v>
      </c>
      <c r="M208">
        <v>0</v>
      </c>
      <c r="N208">
        <v>81.912999999999997</v>
      </c>
      <c r="O208" t="s">
        <v>103</v>
      </c>
      <c r="Q208" t="s">
        <v>132</v>
      </c>
    </row>
    <row r="209" spans="1:17">
      <c r="A209" t="s">
        <v>14</v>
      </c>
      <c r="B209" t="s">
        <v>15</v>
      </c>
      <c r="C209" s="1">
        <v>45744</v>
      </c>
      <c r="D209">
        <v>193612913</v>
      </c>
      <c r="E209" t="s">
        <v>119</v>
      </c>
      <c r="F209" t="s">
        <v>106</v>
      </c>
      <c r="G209" t="s">
        <v>107</v>
      </c>
      <c r="H209" s="25" t="s">
        <v>108</v>
      </c>
      <c r="I209">
        <v>37.783000000000001</v>
      </c>
      <c r="J209" s="1">
        <v>45744</v>
      </c>
      <c r="K209" t="s">
        <v>109</v>
      </c>
      <c r="L209">
        <v>5000</v>
      </c>
      <c r="M209">
        <v>0</v>
      </c>
      <c r="N209">
        <v>132.328</v>
      </c>
      <c r="O209" t="s">
        <v>103</v>
      </c>
      <c r="Q209" t="s">
        <v>113</v>
      </c>
    </row>
    <row r="210" spans="1:17">
      <c r="A210" t="s">
        <v>14</v>
      </c>
      <c r="B210" t="s">
        <v>15</v>
      </c>
      <c r="C210" s="1">
        <v>45754</v>
      </c>
      <c r="D210">
        <v>194379358</v>
      </c>
      <c r="E210" t="s">
        <v>124</v>
      </c>
      <c r="F210" t="s">
        <v>110</v>
      </c>
      <c r="G210" t="s">
        <v>120</v>
      </c>
      <c r="H210" s="25" t="s">
        <v>112</v>
      </c>
      <c r="I210">
        <v>32.3157</v>
      </c>
      <c r="J210" s="1">
        <v>45755</v>
      </c>
      <c r="K210" t="s">
        <v>102</v>
      </c>
      <c r="L210">
        <v>350003.5</v>
      </c>
      <c r="M210">
        <v>0</v>
      </c>
      <c r="N210">
        <v>10830.764999999999</v>
      </c>
      <c r="O210" t="s">
        <v>103</v>
      </c>
      <c r="Q210" t="s">
        <v>105</v>
      </c>
    </row>
    <row r="211" spans="1:17">
      <c r="A211" t="s">
        <v>14</v>
      </c>
      <c r="B211" t="s">
        <v>15</v>
      </c>
      <c r="C211" s="1">
        <v>45754</v>
      </c>
      <c r="D211">
        <v>194380217</v>
      </c>
      <c r="E211" t="s">
        <v>124</v>
      </c>
      <c r="F211" t="s">
        <v>106</v>
      </c>
      <c r="G211" t="s">
        <v>107</v>
      </c>
      <c r="H211" s="25" t="s">
        <v>108</v>
      </c>
      <c r="I211">
        <v>36.972999999999999</v>
      </c>
      <c r="J211" s="1">
        <v>45755</v>
      </c>
      <c r="K211" t="s">
        <v>109</v>
      </c>
      <c r="L211">
        <v>300003</v>
      </c>
      <c r="M211">
        <v>0</v>
      </c>
      <c r="N211">
        <v>8114.1109999999999</v>
      </c>
      <c r="O211" t="s">
        <v>103</v>
      </c>
      <c r="Q211" t="s">
        <v>105</v>
      </c>
    </row>
    <row r="212" spans="1:17">
      <c r="A212" t="s">
        <v>14</v>
      </c>
      <c r="B212" t="s">
        <v>15</v>
      </c>
      <c r="C212" s="1">
        <v>45754</v>
      </c>
      <c r="D212">
        <v>194380235</v>
      </c>
      <c r="E212" t="s">
        <v>124</v>
      </c>
      <c r="F212" t="s">
        <v>110</v>
      </c>
      <c r="G212" t="s">
        <v>131</v>
      </c>
      <c r="H212" s="25" t="s">
        <v>112</v>
      </c>
      <c r="I212">
        <v>16.29</v>
      </c>
      <c r="J212" s="1">
        <v>45755</v>
      </c>
      <c r="K212" t="s">
        <v>102</v>
      </c>
      <c r="L212">
        <v>81445.929999999993</v>
      </c>
      <c r="M212">
        <v>0</v>
      </c>
      <c r="N212">
        <v>4999.75</v>
      </c>
      <c r="O212" t="s">
        <v>103</v>
      </c>
      <c r="Q212" t="s">
        <v>105</v>
      </c>
    </row>
    <row r="213" spans="1:17">
      <c r="A213" t="s">
        <v>14</v>
      </c>
      <c r="B213" t="s">
        <v>15</v>
      </c>
      <c r="C213" s="1">
        <v>45771</v>
      </c>
      <c r="D213">
        <v>195395079</v>
      </c>
      <c r="E213" t="s">
        <v>119</v>
      </c>
      <c r="F213" t="s">
        <v>110</v>
      </c>
      <c r="G213" t="s">
        <v>120</v>
      </c>
      <c r="H213" s="25" t="s">
        <v>112</v>
      </c>
      <c r="I213">
        <v>33.750300000000003</v>
      </c>
      <c r="J213" s="1">
        <v>45771</v>
      </c>
      <c r="K213" t="s">
        <v>102</v>
      </c>
      <c r="L213">
        <v>5000</v>
      </c>
      <c r="M213">
        <v>0</v>
      </c>
      <c r="N213">
        <v>148.13900000000001</v>
      </c>
      <c r="O213" t="s">
        <v>103</v>
      </c>
      <c r="Q213" t="s">
        <v>113</v>
      </c>
    </row>
    <row r="214" spans="1:17">
      <c r="A214" t="s">
        <v>14</v>
      </c>
      <c r="B214" t="s">
        <v>15</v>
      </c>
      <c r="C214" s="1">
        <v>45773</v>
      </c>
      <c r="D214">
        <v>195836591</v>
      </c>
      <c r="E214" t="s">
        <v>92</v>
      </c>
      <c r="F214" t="s">
        <v>106</v>
      </c>
      <c r="G214" t="s">
        <v>107</v>
      </c>
      <c r="H214" s="25" t="s">
        <v>108</v>
      </c>
      <c r="I214">
        <v>38.18</v>
      </c>
      <c r="J214" s="1">
        <v>45773</v>
      </c>
      <c r="K214" t="s">
        <v>109</v>
      </c>
      <c r="L214">
        <v>1472.64</v>
      </c>
      <c r="M214">
        <v>0</v>
      </c>
      <c r="N214">
        <v>38.569000000000003</v>
      </c>
      <c r="O214" t="s">
        <v>103</v>
      </c>
      <c r="Q214" t="s">
        <v>132</v>
      </c>
    </row>
    <row r="215" spans="1:17">
      <c r="A215" t="s">
        <v>14</v>
      </c>
      <c r="B215" t="s">
        <v>15</v>
      </c>
      <c r="C215" s="1">
        <v>45775</v>
      </c>
      <c r="D215">
        <v>195816661</v>
      </c>
      <c r="E215" t="s">
        <v>119</v>
      </c>
      <c r="F215" t="s">
        <v>106</v>
      </c>
      <c r="G215" t="s">
        <v>107</v>
      </c>
      <c r="H215" s="25" t="s">
        <v>108</v>
      </c>
      <c r="I215">
        <v>38.503</v>
      </c>
      <c r="J215" s="1">
        <v>45775</v>
      </c>
      <c r="K215" t="s">
        <v>109</v>
      </c>
      <c r="L215">
        <v>5000</v>
      </c>
      <c r="M215">
        <v>0</v>
      </c>
      <c r="N215">
        <v>129.85400000000001</v>
      </c>
      <c r="O215" t="s">
        <v>103</v>
      </c>
      <c r="Q215" t="s">
        <v>113</v>
      </c>
    </row>
    <row r="216" spans="1:17">
      <c r="A216" t="s">
        <v>14</v>
      </c>
      <c r="B216" t="s">
        <v>15</v>
      </c>
      <c r="C216" s="1">
        <v>45801</v>
      </c>
      <c r="D216">
        <v>197680618</v>
      </c>
      <c r="E216" t="s">
        <v>119</v>
      </c>
      <c r="F216" t="s">
        <v>110</v>
      </c>
      <c r="G216" t="s">
        <v>120</v>
      </c>
      <c r="H216" s="25" t="s">
        <v>112</v>
      </c>
      <c r="I216">
        <v>34.113799999999998</v>
      </c>
      <c r="J216" s="1">
        <v>45803</v>
      </c>
      <c r="K216" t="s">
        <v>102</v>
      </c>
      <c r="L216">
        <v>5000</v>
      </c>
      <c r="M216">
        <v>0</v>
      </c>
      <c r="N216">
        <v>146.56100000000001</v>
      </c>
      <c r="O216" t="s">
        <v>103</v>
      </c>
      <c r="Q216" t="s">
        <v>113</v>
      </c>
    </row>
    <row r="217" spans="1:17">
      <c r="A217" t="s">
        <v>14</v>
      </c>
      <c r="B217" t="s">
        <v>15</v>
      </c>
      <c r="C217" s="1">
        <v>45804</v>
      </c>
      <c r="D217">
        <v>197931703</v>
      </c>
      <c r="E217" t="s">
        <v>92</v>
      </c>
      <c r="F217" t="s">
        <v>106</v>
      </c>
      <c r="G217" t="s">
        <v>107</v>
      </c>
      <c r="H217" s="25" t="s">
        <v>108</v>
      </c>
      <c r="I217">
        <v>39.225999999999999</v>
      </c>
      <c r="J217" s="1">
        <v>45804</v>
      </c>
      <c r="K217" t="s">
        <v>109</v>
      </c>
      <c r="L217">
        <v>1514.74</v>
      </c>
      <c r="M217">
        <v>0</v>
      </c>
      <c r="N217">
        <v>38.613999999999997</v>
      </c>
      <c r="O217" t="s">
        <v>103</v>
      </c>
      <c r="Q217" t="s">
        <v>113</v>
      </c>
    </row>
    <row r="218" spans="1:17">
      <c r="A218" t="s">
        <v>14</v>
      </c>
      <c r="B218" t="s">
        <v>15</v>
      </c>
      <c r="C218" s="1">
        <v>45805</v>
      </c>
      <c r="D218">
        <v>197912185</v>
      </c>
      <c r="E218" t="s">
        <v>119</v>
      </c>
      <c r="F218" t="s">
        <v>106</v>
      </c>
      <c r="G218" t="s">
        <v>107</v>
      </c>
      <c r="H218" s="25" t="s">
        <v>108</v>
      </c>
      <c r="I218">
        <v>39.139000000000003</v>
      </c>
      <c r="J218" s="1">
        <v>45805</v>
      </c>
      <c r="K218" t="s">
        <v>109</v>
      </c>
      <c r="L218">
        <v>5000</v>
      </c>
      <c r="M218">
        <v>0</v>
      </c>
      <c r="N218">
        <v>127.74299999999999</v>
      </c>
      <c r="O218" t="s">
        <v>103</v>
      </c>
      <c r="Q218" t="s">
        <v>113</v>
      </c>
    </row>
    <row r="219" spans="1:17">
      <c r="A219" t="s">
        <v>14</v>
      </c>
      <c r="B219" t="s">
        <v>15</v>
      </c>
      <c r="C219" s="1">
        <v>45816</v>
      </c>
      <c r="D219">
        <v>198774513</v>
      </c>
      <c r="E219" t="s">
        <v>124</v>
      </c>
      <c r="F219" t="s">
        <v>114</v>
      </c>
      <c r="G219" t="s">
        <v>122</v>
      </c>
      <c r="H219" s="25" t="s">
        <v>116</v>
      </c>
      <c r="I219">
        <v>79.37</v>
      </c>
      <c r="J219" s="1">
        <v>45817</v>
      </c>
      <c r="K219" t="s">
        <v>102</v>
      </c>
      <c r="L219">
        <v>300003</v>
      </c>
      <c r="M219">
        <v>0</v>
      </c>
      <c r="N219">
        <v>3779.8029999999999</v>
      </c>
      <c r="O219" t="s">
        <v>103</v>
      </c>
      <c r="Q219" t="s">
        <v>105</v>
      </c>
    </row>
    <row r="220" spans="1:17">
      <c r="A220" t="s">
        <v>14</v>
      </c>
      <c r="B220" t="s">
        <v>15</v>
      </c>
      <c r="C220" s="1">
        <v>45831</v>
      </c>
      <c r="D220">
        <v>199739691</v>
      </c>
      <c r="E220" t="s">
        <v>124</v>
      </c>
      <c r="F220" t="s">
        <v>110</v>
      </c>
      <c r="G220" t="s">
        <v>111</v>
      </c>
      <c r="H220" s="25" t="s">
        <v>112</v>
      </c>
      <c r="I220">
        <v>297.33</v>
      </c>
      <c r="J220" s="1">
        <v>45831</v>
      </c>
      <c r="K220" t="s">
        <v>102</v>
      </c>
      <c r="L220">
        <v>200002</v>
      </c>
      <c r="M220">
        <v>0</v>
      </c>
      <c r="N220">
        <v>672.66</v>
      </c>
      <c r="O220" t="s">
        <v>103</v>
      </c>
      <c r="Q220" t="s">
        <v>105</v>
      </c>
    </row>
    <row r="221" spans="1:17">
      <c r="A221" t="s">
        <v>14</v>
      </c>
      <c r="B221" t="s">
        <v>15</v>
      </c>
      <c r="C221" s="1">
        <v>45832</v>
      </c>
      <c r="D221">
        <v>199768835</v>
      </c>
      <c r="E221" t="s">
        <v>119</v>
      </c>
      <c r="F221" t="s">
        <v>110</v>
      </c>
      <c r="G221" t="s">
        <v>120</v>
      </c>
      <c r="H221" s="25" t="s">
        <v>112</v>
      </c>
      <c r="I221">
        <v>34.219200000000001</v>
      </c>
      <c r="J221" s="1">
        <v>45832</v>
      </c>
      <c r="K221" t="s">
        <v>102</v>
      </c>
      <c r="L221">
        <v>5000</v>
      </c>
      <c r="M221">
        <v>0</v>
      </c>
      <c r="N221">
        <v>146.10900000000001</v>
      </c>
      <c r="O221" t="s">
        <v>103</v>
      </c>
      <c r="Q221" t="s">
        <v>113</v>
      </c>
    </row>
    <row r="222" spans="1:17">
      <c r="A222" t="s">
        <v>14</v>
      </c>
      <c r="B222" t="s">
        <v>15</v>
      </c>
      <c r="C222" s="1">
        <v>45834</v>
      </c>
      <c r="D222">
        <v>199985953</v>
      </c>
      <c r="E222" t="s">
        <v>92</v>
      </c>
      <c r="F222" t="s">
        <v>106</v>
      </c>
      <c r="G222" t="s">
        <v>107</v>
      </c>
      <c r="H222" s="25" t="s">
        <v>108</v>
      </c>
      <c r="I222">
        <v>39.298000000000002</v>
      </c>
      <c r="J222" s="1">
        <v>45834</v>
      </c>
      <c r="K222" t="s">
        <v>109</v>
      </c>
      <c r="L222">
        <v>1556.33</v>
      </c>
      <c r="M222">
        <v>0</v>
      </c>
      <c r="N222">
        <v>39.600999999999999</v>
      </c>
      <c r="O222" t="s">
        <v>103</v>
      </c>
      <c r="Q222" t="s">
        <v>113</v>
      </c>
    </row>
    <row r="223" spans="1:17">
      <c r="A223" t="s">
        <v>14</v>
      </c>
      <c r="B223" t="s">
        <v>15</v>
      </c>
      <c r="C223" s="1">
        <v>45836</v>
      </c>
      <c r="D223">
        <v>200039540</v>
      </c>
      <c r="E223" t="s">
        <v>119</v>
      </c>
      <c r="F223" t="s">
        <v>106</v>
      </c>
      <c r="G223" t="s">
        <v>107</v>
      </c>
      <c r="H223" s="25" t="s">
        <v>108</v>
      </c>
      <c r="I223">
        <v>39.646999999999998</v>
      </c>
      <c r="J223" s="1">
        <v>45838</v>
      </c>
      <c r="K223" t="s">
        <v>109</v>
      </c>
      <c r="L223">
        <v>5000</v>
      </c>
      <c r="M223">
        <v>0</v>
      </c>
      <c r="N223">
        <v>126.107</v>
      </c>
      <c r="O223" t="s">
        <v>103</v>
      </c>
      <c r="Q223" t="s">
        <v>113</v>
      </c>
    </row>
    <row r="224" spans="1:17">
      <c r="A224" t="s">
        <v>14</v>
      </c>
      <c r="B224" t="s">
        <v>15</v>
      </c>
      <c r="C224" s="1">
        <v>45850</v>
      </c>
      <c r="D224">
        <v>201250406</v>
      </c>
      <c r="E224" t="s">
        <v>124</v>
      </c>
      <c r="F224" t="s">
        <v>106</v>
      </c>
      <c r="G224" t="s">
        <v>107</v>
      </c>
      <c r="H224" s="25" t="s">
        <v>108</v>
      </c>
      <c r="I224">
        <v>39.341999999999999</v>
      </c>
      <c r="J224" s="1">
        <v>45852</v>
      </c>
      <c r="K224" t="s">
        <v>109</v>
      </c>
      <c r="L224">
        <v>100001</v>
      </c>
      <c r="M224">
        <v>0</v>
      </c>
      <c r="N224">
        <v>2541.8380000000002</v>
      </c>
      <c r="O224" t="s">
        <v>103</v>
      </c>
      <c r="Q224" t="s">
        <v>105</v>
      </c>
    </row>
    <row r="225" spans="1:17">
      <c r="A225" t="s">
        <v>14</v>
      </c>
      <c r="B225" t="s">
        <v>15</v>
      </c>
      <c r="C225" s="1">
        <v>45850</v>
      </c>
      <c r="D225">
        <v>201250408</v>
      </c>
      <c r="E225" t="s">
        <v>124</v>
      </c>
      <c r="F225" t="s">
        <v>114</v>
      </c>
      <c r="G225" t="s">
        <v>115</v>
      </c>
      <c r="H225" s="25" t="s">
        <v>116</v>
      </c>
      <c r="I225">
        <v>389.32960000000003</v>
      </c>
      <c r="J225" s="1">
        <v>45852</v>
      </c>
      <c r="K225" t="s">
        <v>102</v>
      </c>
      <c r="L225">
        <v>100001</v>
      </c>
      <c r="M225">
        <v>0</v>
      </c>
      <c r="N225">
        <v>256.85399999999998</v>
      </c>
      <c r="O225" t="s">
        <v>103</v>
      </c>
      <c r="Q225" t="s">
        <v>105</v>
      </c>
    </row>
    <row r="226" spans="1:17">
      <c r="A226" t="s">
        <v>14</v>
      </c>
      <c r="B226" t="s">
        <v>15</v>
      </c>
      <c r="C226" s="1">
        <v>45862</v>
      </c>
      <c r="D226">
        <v>201953622</v>
      </c>
      <c r="E226" t="s">
        <v>119</v>
      </c>
      <c r="F226" t="s">
        <v>110</v>
      </c>
      <c r="G226" t="s">
        <v>120</v>
      </c>
      <c r="H226" s="25" t="s">
        <v>112</v>
      </c>
      <c r="I226">
        <v>34.3093</v>
      </c>
      <c r="J226" s="1">
        <v>45862</v>
      </c>
      <c r="K226" t="s">
        <v>102</v>
      </c>
      <c r="L226">
        <v>5000</v>
      </c>
      <c r="M226">
        <v>0</v>
      </c>
      <c r="N226">
        <v>145.726</v>
      </c>
      <c r="O226" t="s">
        <v>103</v>
      </c>
      <c r="Q226" t="s">
        <v>113</v>
      </c>
    </row>
    <row r="227" spans="1:17">
      <c r="A227" t="s">
        <v>14</v>
      </c>
      <c r="B227" t="s">
        <v>15</v>
      </c>
      <c r="C227" s="1">
        <v>45864</v>
      </c>
      <c r="D227">
        <v>202225632</v>
      </c>
      <c r="E227" t="s">
        <v>92</v>
      </c>
      <c r="F227" t="s">
        <v>106</v>
      </c>
      <c r="G227" t="s">
        <v>107</v>
      </c>
      <c r="H227" s="25" t="s">
        <v>108</v>
      </c>
      <c r="I227">
        <v>38.79</v>
      </c>
      <c r="J227" s="1">
        <v>45864</v>
      </c>
      <c r="K227" t="s">
        <v>109</v>
      </c>
      <c r="L227">
        <v>962.3</v>
      </c>
      <c r="M227">
        <v>0</v>
      </c>
      <c r="N227">
        <v>24.806999999999999</v>
      </c>
      <c r="O227" t="s">
        <v>103</v>
      </c>
      <c r="Q227" t="s">
        <v>113</v>
      </c>
    </row>
    <row r="228" spans="1:17">
      <c r="A228" t="s">
        <v>14</v>
      </c>
      <c r="B228" t="s">
        <v>15</v>
      </c>
      <c r="C228" s="1">
        <v>45866</v>
      </c>
      <c r="D228">
        <v>202201130</v>
      </c>
      <c r="E228" t="s">
        <v>119</v>
      </c>
      <c r="F228" t="s">
        <v>106</v>
      </c>
      <c r="G228" t="s">
        <v>107</v>
      </c>
      <c r="H228" s="25" t="s">
        <v>108</v>
      </c>
      <c r="I228">
        <v>38.575000000000003</v>
      </c>
      <c r="J228" s="1">
        <v>45866</v>
      </c>
      <c r="K228" t="s">
        <v>109</v>
      </c>
      <c r="L228">
        <v>5000</v>
      </c>
      <c r="M228">
        <v>0</v>
      </c>
      <c r="N228">
        <v>129.61099999999999</v>
      </c>
      <c r="O228" t="s">
        <v>103</v>
      </c>
      <c r="Q228" t="s">
        <v>113</v>
      </c>
    </row>
    <row r="229" spans="1:17">
      <c r="A229" t="s">
        <v>14</v>
      </c>
      <c r="B229" t="s">
        <v>15</v>
      </c>
      <c r="C229" s="1">
        <v>45872</v>
      </c>
      <c r="D229">
        <v>202687509</v>
      </c>
      <c r="E229" t="s">
        <v>124</v>
      </c>
      <c r="F229" t="s">
        <v>106</v>
      </c>
      <c r="G229" t="s">
        <v>107</v>
      </c>
      <c r="H229" s="25" t="s">
        <v>108</v>
      </c>
      <c r="I229">
        <v>38.554000000000002</v>
      </c>
      <c r="J229" s="1">
        <v>45873</v>
      </c>
      <c r="K229" t="s">
        <v>109</v>
      </c>
      <c r="L229">
        <v>100001</v>
      </c>
      <c r="M229">
        <v>0</v>
      </c>
      <c r="N229">
        <v>2593.7840000000001</v>
      </c>
      <c r="O229" t="s">
        <v>103</v>
      </c>
      <c r="Q229" t="s">
        <v>105</v>
      </c>
    </row>
    <row r="230" spans="1:17">
      <c r="A230" t="s">
        <v>14</v>
      </c>
      <c r="B230" t="s">
        <v>15</v>
      </c>
      <c r="C230" s="1">
        <v>45872</v>
      </c>
      <c r="D230">
        <v>202687515</v>
      </c>
      <c r="E230" t="s">
        <v>124</v>
      </c>
      <c r="F230" t="s">
        <v>114</v>
      </c>
      <c r="G230" t="s">
        <v>122</v>
      </c>
      <c r="H230" s="25" t="s">
        <v>116</v>
      </c>
      <c r="I230">
        <v>79.366600000000005</v>
      </c>
      <c r="J230" s="1">
        <v>45873</v>
      </c>
      <c r="K230" t="s">
        <v>102</v>
      </c>
      <c r="L230">
        <v>100001</v>
      </c>
      <c r="M230">
        <v>0</v>
      </c>
      <c r="N230">
        <v>1259.9880000000001</v>
      </c>
      <c r="O230" t="s">
        <v>103</v>
      </c>
      <c r="Q230" t="s">
        <v>105</v>
      </c>
    </row>
    <row r="231" spans="1:17">
      <c r="A231" t="s">
        <v>14</v>
      </c>
      <c r="B231" t="s">
        <v>15</v>
      </c>
      <c r="C231" s="1">
        <v>45882</v>
      </c>
      <c r="D231">
        <v>203505463</v>
      </c>
      <c r="E231" t="s">
        <v>124</v>
      </c>
      <c r="F231" t="s">
        <v>110</v>
      </c>
      <c r="G231" t="s">
        <v>111</v>
      </c>
      <c r="H231" s="25" t="s">
        <v>112</v>
      </c>
      <c r="I231">
        <v>293.06</v>
      </c>
      <c r="J231" s="1">
        <v>45883</v>
      </c>
      <c r="K231" t="s">
        <v>102</v>
      </c>
      <c r="L231">
        <v>50000.5</v>
      </c>
      <c r="M231">
        <v>0</v>
      </c>
      <c r="N231">
        <v>170.61500000000001</v>
      </c>
      <c r="O231" t="s">
        <v>103</v>
      </c>
      <c r="Q231" t="s">
        <v>105</v>
      </c>
    </row>
    <row r="232" spans="1:17">
      <c r="A232" t="s">
        <v>14</v>
      </c>
      <c r="B232" t="s">
        <v>15</v>
      </c>
      <c r="C232" s="1">
        <v>45882</v>
      </c>
      <c r="D232">
        <v>203505466</v>
      </c>
      <c r="E232" t="s">
        <v>124</v>
      </c>
      <c r="F232" t="s">
        <v>106</v>
      </c>
      <c r="G232" t="s">
        <v>107</v>
      </c>
      <c r="H232" s="25" t="s">
        <v>108</v>
      </c>
      <c r="I232">
        <v>38.31</v>
      </c>
      <c r="J232" s="1">
        <v>45883</v>
      </c>
      <c r="K232" t="s">
        <v>109</v>
      </c>
      <c r="L232">
        <v>50000.5</v>
      </c>
      <c r="M232">
        <v>0</v>
      </c>
      <c r="N232">
        <v>1305.1679999999999</v>
      </c>
      <c r="O232" t="s">
        <v>103</v>
      </c>
      <c r="Q232" t="s">
        <v>105</v>
      </c>
    </row>
    <row r="233" spans="1:17">
      <c r="A233" t="s">
        <v>14</v>
      </c>
      <c r="B233" t="s">
        <v>15</v>
      </c>
      <c r="C233" s="1">
        <v>45893</v>
      </c>
      <c r="D233">
        <v>204119565</v>
      </c>
      <c r="E233" t="s">
        <v>119</v>
      </c>
      <c r="F233" t="s">
        <v>110</v>
      </c>
      <c r="G233" t="s">
        <v>120</v>
      </c>
      <c r="H233" s="25" t="s">
        <v>112</v>
      </c>
      <c r="I233">
        <v>34.326999999999998</v>
      </c>
      <c r="J233" s="1">
        <v>45894</v>
      </c>
      <c r="K233" t="s">
        <v>102</v>
      </c>
      <c r="L233">
        <v>5000</v>
      </c>
      <c r="M233">
        <v>0</v>
      </c>
      <c r="N233">
        <v>145.65100000000001</v>
      </c>
      <c r="O233" t="s">
        <v>103</v>
      </c>
      <c r="Q233" t="s">
        <v>113</v>
      </c>
    </row>
    <row r="234" spans="1:17">
      <c r="A234" t="s">
        <v>14</v>
      </c>
      <c r="B234" t="s">
        <v>15</v>
      </c>
      <c r="C234" s="1">
        <v>45895</v>
      </c>
      <c r="D234">
        <v>204371196</v>
      </c>
      <c r="E234" t="s">
        <v>92</v>
      </c>
      <c r="F234" t="s">
        <v>106</v>
      </c>
      <c r="G234" t="s">
        <v>107</v>
      </c>
      <c r="H234" s="25" t="s">
        <v>108</v>
      </c>
      <c r="I234">
        <v>38.54</v>
      </c>
      <c r="J234" s="1">
        <v>45895</v>
      </c>
      <c r="K234" t="s">
        <v>109</v>
      </c>
      <c r="L234">
        <v>26.17</v>
      </c>
      <c r="M234">
        <v>0</v>
      </c>
      <c r="N234">
        <v>0.67900000000000005</v>
      </c>
      <c r="O234" t="s">
        <v>103</v>
      </c>
      <c r="Q234" t="s">
        <v>113</v>
      </c>
    </row>
    <row r="235" spans="1:17">
      <c r="A235" t="s">
        <v>14</v>
      </c>
      <c r="B235" t="s">
        <v>15</v>
      </c>
      <c r="C235" s="1">
        <v>45897</v>
      </c>
      <c r="D235">
        <v>204349359</v>
      </c>
      <c r="E235" t="s">
        <v>119</v>
      </c>
      <c r="F235" t="s">
        <v>106</v>
      </c>
      <c r="G235" t="s">
        <v>107</v>
      </c>
      <c r="H235" s="25" t="s">
        <v>108</v>
      </c>
      <c r="I235">
        <v>38.012999999999998</v>
      </c>
      <c r="J235" s="1">
        <v>45897</v>
      </c>
      <c r="K235" t="s">
        <v>109</v>
      </c>
      <c r="L235">
        <v>5000</v>
      </c>
      <c r="M235">
        <v>0</v>
      </c>
      <c r="N235">
        <v>131.52699999999999</v>
      </c>
      <c r="O235" t="s">
        <v>103</v>
      </c>
      <c r="Q235" t="s">
        <v>113</v>
      </c>
    </row>
    <row r="236" spans="1:17">
      <c r="A236" t="s">
        <v>14</v>
      </c>
      <c r="B236" t="s">
        <v>15</v>
      </c>
      <c r="C236" s="1">
        <v>45924</v>
      </c>
      <c r="D236">
        <v>206255226</v>
      </c>
      <c r="E236" t="s">
        <v>119</v>
      </c>
      <c r="F236" t="s">
        <v>110</v>
      </c>
      <c r="G236" t="s">
        <v>120</v>
      </c>
      <c r="H236" s="25" t="s">
        <v>112</v>
      </c>
      <c r="I236">
        <v>34.899099999999997</v>
      </c>
      <c r="J236" s="1">
        <v>45924</v>
      </c>
      <c r="K236" t="s">
        <v>102</v>
      </c>
      <c r="L236">
        <v>5000</v>
      </c>
      <c r="M236">
        <v>0</v>
      </c>
      <c r="N236">
        <v>143.26300000000001</v>
      </c>
      <c r="O236" t="s">
        <v>103</v>
      </c>
      <c r="Q236" t="s">
        <v>113</v>
      </c>
    </row>
    <row r="237" spans="1:17">
      <c r="A237" t="s">
        <v>14</v>
      </c>
      <c r="B237" t="s">
        <v>15</v>
      </c>
      <c r="C237" s="1">
        <v>45926</v>
      </c>
      <c r="D237">
        <v>206793999</v>
      </c>
      <c r="E237" t="s">
        <v>92</v>
      </c>
      <c r="F237" t="s">
        <v>106</v>
      </c>
      <c r="G237" t="s">
        <v>107</v>
      </c>
      <c r="H237" s="25" t="s">
        <v>108</v>
      </c>
      <c r="I237">
        <v>38.485999999999997</v>
      </c>
      <c r="J237" s="1">
        <v>45926</v>
      </c>
      <c r="K237" t="s">
        <v>109</v>
      </c>
      <c r="L237">
        <v>59.22</v>
      </c>
      <c r="M237">
        <v>0</v>
      </c>
      <c r="N237">
        <v>1.5389999999999999</v>
      </c>
      <c r="O237" t="s">
        <v>103</v>
      </c>
      <c r="Q237" t="s">
        <v>113</v>
      </c>
    </row>
    <row r="238" spans="1:17">
      <c r="A238" t="s">
        <v>14</v>
      </c>
      <c r="B238" t="s">
        <v>15</v>
      </c>
      <c r="C238" s="1">
        <v>45928</v>
      </c>
      <c r="D238">
        <v>206513363</v>
      </c>
      <c r="E238" t="s">
        <v>119</v>
      </c>
      <c r="F238" t="s">
        <v>106</v>
      </c>
      <c r="G238" t="s">
        <v>107</v>
      </c>
      <c r="H238" s="25" t="s">
        <v>108</v>
      </c>
      <c r="I238">
        <v>38.234000000000002</v>
      </c>
      <c r="J238" s="1">
        <v>45929</v>
      </c>
      <c r="K238" t="s">
        <v>109</v>
      </c>
      <c r="L238">
        <v>5000</v>
      </c>
      <c r="M238">
        <v>0</v>
      </c>
      <c r="N238">
        <v>130.767</v>
      </c>
      <c r="O238" t="s">
        <v>103</v>
      </c>
      <c r="Q238" t="s">
        <v>113</v>
      </c>
    </row>
    <row r="239" spans="1:17">
      <c r="A239" t="s">
        <v>14</v>
      </c>
      <c r="B239" t="s">
        <v>15</v>
      </c>
      <c r="C239" s="1">
        <v>45949</v>
      </c>
      <c r="D239">
        <v>208109910</v>
      </c>
      <c r="E239" t="s">
        <v>124</v>
      </c>
      <c r="F239" t="s">
        <v>110</v>
      </c>
      <c r="G239" t="s">
        <v>120</v>
      </c>
      <c r="H239" s="25" t="s">
        <v>112</v>
      </c>
      <c r="I239">
        <v>35.395800000000001</v>
      </c>
      <c r="J239" s="1">
        <v>45950</v>
      </c>
      <c r="K239" t="s">
        <v>102</v>
      </c>
      <c r="L239">
        <v>40000.400000000001</v>
      </c>
      <c r="M239">
        <v>0</v>
      </c>
      <c r="N239">
        <v>1130.088</v>
      </c>
      <c r="O239" t="s">
        <v>103</v>
      </c>
      <c r="Q239" t="s">
        <v>105</v>
      </c>
    </row>
    <row r="240" spans="1:17">
      <c r="A240" t="s">
        <v>14</v>
      </c>
      <c r="B240" t="s">
        <v>15</v>
      </c>
      <c r="C240" s="1">
        <v>45949</v>
      </c>
      <c r="D240">
        <v>208109911</v>
      </c>
      <c r="E240" t="s">
        <v>124</v>
      </c>
      <c r="F240" t="s">
        <v>114</v>
      </c>
      <c r="G240" t="s">
        <v>115</v>
      </c>
      <c r="H240" s="25" t="s">
        <v>116</v>
      </c>
      <c r="I240">
        <v>404.66980000000001</v>
      </c>
      <c r="J240" s="1">
        <v>45950</v>
      </c>
      <c r="K240" t="s">
        <v>102</v>
      </c>
      <c r="L240">
        <v>20000.2</v>
      </c>
      <c r="M240">
        <v>0</v>
      </c>
      <c r="N240">
        <v>49.423999999999999</v>
      </c>
      <c r="O240" t="s">
        <v>103</v>
      </c>
      <c r="Q240" t="s">
        <v>105</v>
      </c>
    </row>
    <row r="241" spans="1:17">
      <c r="A241" t="s">
        <v>14</v>
      </c>
      <c r="B241" t="s">
        <v>15</v>
      </c>
      <c r="C241" s="1">
        <v>45954</v>
      </c>
      <c r="D241">
        <v>208368535</v>
      </c>
      <c r="E241" t="s">
        <v>119</v>
      </c>
      <c r="F241" t="s">
        <v>110</v>
      </c>
      <c r="G241" t="s">
        <v>120</v>
      </c>
      <c r="H241" s="25" t="s">
        <v>112</v>
      </c>
      <c r="I241">
        <v>35.599499999999999</v>
      </c>
      <c r="J241" s="1">
        <v>45954</v>
      </c>
      <c r="K241" t="s">
        <v>102</v>
      </c>
      <c r="L241">
        <v>5000</v>
      </c>
      <c r="M241">
        <v>0</v>
      </c>
      <c r="N241">
        <v>140.44399999999999</v>
      </c>
      <c r="O241" t="s">
        <v>103</v>
      </c>
      <c r="Q241" t="s">
        <v>113</v>
      </c>
    </row>
    <row r="242" spans="1:17">
      <c r="A242" t="s">
        <v>14</v>
      </c>
      <c r="B242" t="s">
        <v>15</v>
      </c>
      <c r="C242" s="1">
        <v>45958</v>
      </c>
      <c r="D242">
        <v>208662032</v>
      </c>
      <c r="E242" t="s">
        <v>92</v>
      </c>
      <c r="F242" t="s">
        <v>106</v>
      </c>
      <c r="G242" t="s">
        <v>107</v>
      </c>
      <c r="H242" s="25" t="s">
        <v>108</v>
      </c>
      <c r="I242">
        <v>39.185000000000002</v>
      </c>
      <c r="J242" s="1">
        <v>45958</v>
      </c>
      <c r="K242" t="s">
        <v>109</v>
      </c>
      <c r="L242">
        <v>92.3</v>
      </c>
      <c r="M242">
        <v>0</v>
      </c>
      <c r="N242">
        <v>2.355</v>
      </c>
      <c r="O242" t="s">
        <v>103</v>
      </c>
      <c r="Q242" t="s">
        <v>113</v>
      </c>
    </row>
    <row r="243" spans="1:17">
      <c r="A243" t="s">
        <v>14</v>
      </c>
      <c r="B243" t="s">
        <v>15</v>
      </c>
      <c r="C243" s="1">
        <v>45958</v>
      </c>
      <c r="D243">
        <v>208603790</v>
      </c>
      <c r="E243" t="s">
        <v>119</v>
      </c>
      <c r="F243" t="s">
        <v>106</v>
      </c>
      <c r="G243" t="s">
        <v>107</v>
      </c>
      <c r="H243" s="25" t="s">
        <v>108</v>
      </c>
      <c r="I243">
        <v>39.154000000000003</v>
      </c>
      <c r="J243" s="1">
        <v>45958</v>
      </c>
      <c r="K243" t="s">
        <v>109</v>
      </c>
      <c r="L243">
        <v>5000</v>
      </c>
      <c r="M243">
        <v>0</v>
      </c>
      <c r="N243">
        <v>127.694</v>
      </c>
      <c r="O243" t="s">
        <v>103</v>
      </c>
      <c r="Q243" t="s">
        <v>113</v>
      </c>
    </row>
    <row r="244" spans="1:17">
      <c r="A244" t="s">
        <v>14</v>
      </c>
      <c r="B244" t="s">
        <v>15</v>
      </c>
      <c r="C244" s="1">
        <v>45985</v>
      </c>
      <c r="D244">
        <v>210528489</v>
      </c>
      <c r="E244" t="s">
        <v>119</v>
      </c>
      <c r="F244" t="s">
        <v>110</v>
      </c>
      <c r="G244" t="s">
        <v>120</v>
      </c>
      <c r="H244" s="25" t="s">
        <v>112</v>
      </c>
      <c r="I244">
        <v>35.627600000000001</v>
      </c>
      <c r="J244" s="1">
        <v>45985</v>
      </c>
      <c r="K244" t="s">
        <v>102</v>
      </c>
      <c r="L244">
        <v>5000</v>
      </c>
      <c r="M244">
        <v>0</v>
      </c>
      <c r="N244">
        <v>140.334</v>
      </c>
      <c r="O244" t="s">
        <v>103</v>
      </c>
      <c r="Q244" t="s">
        <v>113</v>
      </c>
    </row>
    <row r="245" spans="1:17">
      <c r="A245" t="s">
        <v>14</v>
      </c>
      <c r="B245" t="s">
        <v>15</v>
      </c>
      <c r="C245" s="1">
        <v>45987</v>
      </c>
      <c r="D245">
        <v>210741606</v>
      </c>
      <c r="E245" t="s">
        <v>92</v>
      </c>
      <c r="F245" t="s">
        <v>106</v>
      </c>
      <c r="G245" t="s">
        <v>107</v>
      </c>
      <c r="H245" s="25" t="s">
        <v>108</v>
      </c>
      <c r="I245">
        <v>38.933</v>
      </c>
      <c r="J245" s="1">
        <v>45987</v>
      </c>
      <c r="K245" t="s">
        <v>109</v>
      </c>
      <c r="L245">
        <v>124.81</v>
      </c>
      <c r="M245">
        <v>0</v>
      </c>
      <c r="N245">
        <v>3.206</v>
      </c>
      <c r="O245" t="s">
        <v>103</v>
      </c>
      <c r="Q245" t="s">
        <v>113</v>
      </c>
    </row>
    <row r="246" spans="1:17">
      <c r="A246" t="s">
        <v>14</v>
      </c>
      <c r="B246" t="s">
        <v>15</v>
      </c>
      <c r="C246" s="1">
        <v>45989</v>
      </c>
      <c r="D246">
        <v>210792286</v>
      </c>
      <c r="E246" t="s">
        <v>119</v>
      </c>
      <c r="F246" t="s">
        <v>106</v>
      </c>
      <c r="G246" t="s">
        <v>107</v>
      </c>
      <c r="H246" s="25" t="s">
        <v>108</v>
      </c>
      <c r="I246">
        <v>39.207000000000001</v>
      </c>
      <c r="J246" s="1">
        <v>45989</v>
      </c>
      <c r="K246" t="s">
        <v>109</v>
      </c>
      <c r="L246">
        <v>5000</v>
      </c>
      <c r="M246">
        <v>0</v>
      </c>
      <c r="N246">
        <v>127.52200000000001</v>
      </c>
      <c r="O246" t="s">
        <v>103</v>
      </c>
      <c r="Q246" t="s">
        <v>113</v>
      </c>
    </row>
    <row r="247" spans="1:17">
      <c r="A247" t="s">
        <v>82</v>
      </c>
      <c r="B247" t="s">
        <v>15</v>
      </c>
      <c r="C247" s="1">
        <v>44886.402129629627</v>
      </c>
      <c r="D247">
        <v>135653132</v>
      </c>
      <c r="E247" t="s">
        <v>99</v>
      </c>
      <c r="F247" t="s">
        <v>106</v>
      </c>
      <c r="G247" t="s">
        <v>206</v>
      </c>
      <c r="H247" t="s">
        <v>207</v>
      </c>
      <c r="I247">
        <v>10</v>
      </c>
      <c r="J247" s="1">
        <v>44895</v>
      </c>
      <c r="K247" t="s">
        <v>102</v>
      </c>
      <c r="L247">
        <v>30000</v>
      </c>
      <c r="M247">
        <v>0</v>
      </c>
      <c r="N247">
        <v>2999.85</v>
      </c>
      <c r="O247" t="s">
        <v>103</v>
      </c>
      <c r="Q247" t="s">
        <v>105</v>
      </c>
    </row>
    <row r="248" spans="1:17">
      <c r="A248" t="s">
        <v>82</v>
      </c>
      <c r="B248" t="s">
        <v>15</v>
      </c>
      <c r="C248" s="1">
        <v>44816.65834490741</v>
      </c>
      <c r="D248">
        <v>129631064</v>
      </c>
      <c r="E248" t="s">
        <v>99</v>
      </c>
      <c r="F248" t="s">
        <v>114</v>
      </c>
      <c r="G248" t="s">
        <v>122</v>
      </c>
      <c r="H248" t="s">
        <v>208</v>
      </c>
      <c r="I248">
        <v>52.2</v>
      </c>
      <c r="J248" s="1">
        <v>44817</v>
      </c>
      <c r="K248" t="s">
        <v>102</v>
      </c>
      <c r="L248">
        <v>50000</v>
      </c>
      <c r="M248">
        <v>0</v>
      </c>
      <c r="N248">
        <v>957.80700000000002</v>
      </c>
      <c r="O248" t="s">
        <v>103</v>
      </c>
      <c r="Q248" t="s">
        <v>105</v>
      </c>
    </row>
    <row r="249" spans="1:17">
      <c r="A249" t="s">
        <v>82</v>
      </c>
      <c r="B249" t="s">
        <v>15</v>
      </c>
      <c r="C249" s="1">
        <v>44738.304456018515</v>
      </c>
      <c r="D249">
        <v>124133287</v>
      </c>
      <c r="E249" t="s">
        <v>99</v>
      </c>
      <c r="F249" t="s">
        <v>106</v>
      </c>
      <c r="G249" t="s">
        <v>107</v>
      </c>
      <c r="H249" t="s">
        <v>207</v>
      </c>
      <c r="I249">
        <v>27.585999999999999</v>
      </c>
      <c r="J249" s="1">
        <v>44739</v>
      </c>
      <c r="K249" t="s">
        <v>102</v>
      </c>
      <c r="L249">
        <v>100000</v>
      </c>
      <c r="M249">
        <v>0</v>
      </c>
      <c r="N249">
        <v>3624.846</v>
      </c>
      <c r="O249" t="s">
        <v>103</v>
      </c>
      <c r="Q249" t="s">
        <v>105</v>
      </c>
    </row>
    <row r="250" spans="1:17">
      <c r="A250" t="s">
        <v>82</v>
      </c>
      <c r="B250" t="s">
        <v>15</v>
      </c>
      <c r="C250" s="1">
        <v>44738.304062499999</v>
      </c>
      <c r="D250">
        <v>124133286</v>
      </c>
      <c r="E250" t="s">
        <v>99</v>
      </c>
      <c r="F250" t="s">
        <v>110</v>
      </c>
      <c r="G250" t="s">
        <v>209</v>
      </c>
      <c r="H250" t="s">
        <v>210</v>
      </c>
      <c r="I250">
        <v>26.93</v>
      </c>
      <c r="J250" s="1">
        <v>44739</v>
      </c>
      <c r="K250" t="s">
        <v>102</v>
      </c>
      <c r="L250">
        <v>100000</v>
      </c>
      <c r="M250">
        <v>0</v>
      </c>
      <c r="N250">
        <v>3713.145</v>
      </c>
      <c r="O250" t="s">
        <v>103</v>
      </c>
      <c r="Q250" t="s">
        <v>105</v>
      </c>
    </row>
    <row r="251" spans="1:17">
      <c r="A251" t="s">
        <v>82</v>
      </c>
      <c r="B251" t="s">
        <v>15</v>
      </c>
      <c r="C251" s="1">
        <v>44723.090671296297</v>
      </c>
      <c r="D251">
        <v>123368576</v>
      </c>
      <c r="E251" t="s">
        <v>99</v>
      </c>
      <c r="F251" t="s">
        <v>110</v>
      </c>
      <c r="G251" t="s">
        <v>209</v>
      </c>
      <c r="H251" t="s">
        <v>210</v>
      </c>
      <c r="I251">
        <v>26.58</v>
      </c>
      <c r="J251" s="1">
        <v>44725</v>
      </c>
      <c r="K251" t="s">
        <v>102</v>
      </c>
      <c r="L251">
        <v>100000</v>
      </c>
      <c r="M251">
        <v>0</v>
      </c>
      <c r="N251">
        <v>3762.0390000000002</v>
      </c>
      <c r="O251" t="s">
        <v>103</v>
      </c>
      <c r="Q251" t="s">
        <v>105</v>
      </c>
    </row>
    <row r="252" spans="1:17">
      <c r="A252" t="s">
        <v>82</v>
      </c>
      <c r="B252" t="s">
        <v>15</v>
      </c>
      <c r="C252" s="1">
        <v>44719.252152777779</v>
      </c>
      <c r="D252">
        <v>123147046</v>
      </c>
      <c r="E252" t="s">
        <v>99</v>
      </c>
      <c r="F252" t="s">
        <v>106</v>
      </c>
      <c r="G252" t="s">
        <v>107</v>
      </c>
      <c r="H252" t="s">
        <v>207</v>
      </c>
      <c r="I252">
        <v>28.231000000000002</v>
      </c>
      <c r="J252" s="1">
        <v>44719</v>
      </c>
      <c r="K252" t="s">
        <v>102</v>
      </c>
      <c r="L252">
        <v>100000</v>
      </c>
      <c r="M252">
        <v>0</v>
      </c>
      <c r="N252">
        <v>3542.0279999999998</v>
      </c>
      <c r="O252" t="s">
        <v>103</v>
      </c>
      <c r="Q252" t="s">
        <v>105</v>
      </c>
    </row>
    <row r="253" spans="1:17">
      <c r="A253" t="s">
        <v>82</v>
      </c>
      <c r="B253" t="s">
        <v>15</v>
      </c>
      <c r="C253" s="1">
        <v>44715.161678240744</v>
      </c>
      <c r="D253">
        <v>122897293</v>
      </c>
      <c r="E253" t="s">
        <v>99</v>
      </c>
      <c r="F253" t="s">
        <v>106</v>
      </c>
      <c r="G253" t="s">
        <v>107</v>
      </c>
      <c r="H253" t="s">
        <v>207</v>
      </c>
      <c r="I253">
        <v>28.344999999999999</v>
      </c>
      <c r="J253" s="1">
        <v>44715</v>
      </c>
      <c r="K253" t="s">
        <v>102</v>
      </c>
      <c r="L253">
        <v>100000</v>
      </c>
      <c r="M253">
        <v>0</v>
      </c>
      <c r="N253">
        <v>3527.7829999999999</v>
      </c>
      <c r="O253" t="s">
        <v>103</v>
      </c>
      <c r="Q253" t="s">
        <v>105</v>
      </c>
    </row>
    <row r="254" spans="1:17">
      <c r="A254" t="s">
        <v>82</v>
      </c>
      <c r="B254" t="s">
        <v>15</v>
      </c>
      <c r="C254" s="1">
        <v>44710.822326388887</v>
      </c>
      <c r="D254">
        <v>122664703</v>
      </c>
      <c r="E254" t="s">
        <v>99</v>
      </c>
      <c r="F254" t="s">
        <v>106</v>
      </c>
      <c r="G254" t="s">
        <v>107</v>
      </c>
      <c r="H254" t="s">
        <v>207</v>
      </c>
      <c r="I254">
        <v>28.302</v>
      </c>
      <c r="J254" s="1">
        <v>44711</v>
      </c>
      <c r="K254" t="s">
        <v>102</v>
      </c>
      <c r="L254">
        <v>5000</v>
      </c>
      <c r="M254">
        <v>0</v>
      </c>
      <c r="N254">
        <v>176.65700000000001</v>
      </c>
      <c r="O254" t="s">
        <v>103</v>
      </c>
      <c r="Q254" t="s">
        <v>105</v>
      </c>
    </row>
    <row r="255" spans="1:17">
      <c r="A255" t="s">
        <v>82</v>
      </c>
      <c r="B255" t="s">
        <v>15</v>
      </c>
      <c r="C255" s="1">
        <v>45049.812349537038</v>
      </c>
      <c r="D255">
        <v>145679358</v>
      </c>
      <c r="E255" t="s">
        <v>99</v>
      </c>
      <c r="F255" t="s">
        <v>110</v>
      </c>
      <c r="G255" t="s">
        <v>211</v>
      </c>
      <c r="H255" t="s">
        <v>210</v>
      </c>
      <c r="I255">
        <v>16.79</v>
      </c>
      <c r="J255" s="1">
        <v>45050</v>
      </c>
      <c r="K255" t="s">
        <v>102</v>
      </c>
      <c r="L255">
        <v>90000</v>
      </c>
      <c r="M255">
        <v>0</v>
      </c>
      <c r="N255">
        <v>5360.0659999999998</v>
      </c>
      <c r="O255" t="s">
        <v>103</v>
      </c>
      <c r="Q255" t="s">
        <v>105</v>
      </c>
    </row>
    <row r="256" spans="1:17">
      <c r="A256" t="s">
        <v>82</v>
      </c>
      <c r="B256" t="s">
        <v>15</v>
      </c>
      <c r="C256" s="1">
        <v>44990.295439814814</v>
      </c>
      <c r="D256">
        <v>142608792</v>
      </c>
      <c r="E256" t="s">
        <v>99</v>
      </c>
      <c r="F256" t="s">
        <v>106</v>
      </c>
      <c r="G256" t="s">
        <v>107</v>
      </c>
      <c r="H256" s="25" t="s">
        <v>207</v>
      </c>
      <c r="I256">
        <v>29.800999999999998</v>
      </c>
      <c r="J256" s="1">
        <v>44991</v>
      </c>
      <c r="K256" t="s">
        <v>102</v>
      </c>
      <c r="L256">
        <v>50000</v>
      </c>
      <c r="M256">
        <v>0</v>
      </c>
      <c r="N256">
        <v>1677.712</v>
      </c>
      <c r="O256" t="s">
        <v>103</v>
      </c>
      <c r="Q256" t="s">
        <v>105</v>
      </c>
    </row>
    <row r="257" spans="1:17">
      <c r="A257" t="s">
        <v>82</v>
      </c>
      <c r="B257" t="s">
        <v>15</v>
      </c>
      <c r="C257" s="1">
        <v>44990.295092592591</v>
      </c>
      <c r="D257">
        <v>142608791</v>
      </c>
      <c r="E257" t="s">
        <v>99</v>
      </c>
      <c r="F257" t="s">
        <v>110</v>
      </c>
      <c r="G257" t="s">
        <v>209</v>
      </c>
      <c r="H257" s="25" t="s">
        <v>210</v>
      </c>
      <c r="I257">
        <v>27.18</v>
      </c>
      <c r="J257" s="1">
        <v>44991</v>
      </c>
      <c r="K257" t="s">
        <v>102</v>
      </c>
      <c r="L257">
        <v>50000</v>
      </c>
      <c r="M257">
        <v>0</v>
      </c>
      <c r="N257">
        <v>1839.4960000000001</v>
      </c>
      <c r="O257" t="s">
        <v>103</v>
      </c>
      <c r="Q257" t="s">
        <v>105</v>
      </c>
    </row>
    <row r="258" spans="1:17">
      <c r="A258" t="s">
        <v>82</v>
      </c>
      <c r="B258" t="s">
        <v>15</v>
      </c>
      <c r="C258" s="1">
        <v>44990.294675925928</v>
      </c>
      <c r="D258">
        <v>142608790</v>
      </c>
      <c r="E258" t="s">
        <v>99</v>
      </c>
      <c r="F258" t="s">
        <v>114</v>
      </c>
      <c r="G258" t="s">
        <v>122</v>
      </c>
      <c r="H258" s="25" t="s">
        <v>208</v>
      </c>
      <c r="I258">
        <v>50.590600000000002</v>
      </c>
      <c r="J258" s="1">
        <v>44991</v>
      </c>
      <c r="K258" t="s">
        <v>102</v>
      </c>
      <c r="L258">
        <v>50000</v>
      </c>
      <c r="M258">
        <v>0</v>
      </c>
      <c r="N258">
        <v>988.27599999999995</v>
      </c>
      <c r="O258" t="s">
        <v>103</v>
      </c>
      <c r="Q258" t="s">
        <v>105</v>
      </c>
    </row>
    <row r="259" spans="1:17">
      <c r="A259" t="s">
        <v>82</v>
      </c>
      <c r="B259" t="s">
        <v>15</v>
      </c>
      <c r="C259" s="1">
        <v>44990.293993055559</v>
      </c>
      <c r="D259">
        <v>142608788</v>
      </c>
      <c r="E259" t="s">
        <v>99</v>
      </c>
      <c r="F259" t="s">
        <v>106</v>
      </c>
      <c r="G259" t="s">
        <v>206</v>
      </c>
      <c r="H259" s="25" t="s">
        <v>207</v>
      </c>
      <c r="I259">
        <v>9.6950000000000003</v>
      </c>
      <c r="J259" s="1">
        <v>44991</v>
      </c>
      <c r="K259" t="s">
        <v>102</v>
      </c>
      <c r="L259">
        <v>50000</v>
      </c>
      <c r="M259">
        <v>0</v>
      </c>
      <c r="N259">
        <v>5157.04</v>
      </c>
      <c r="O259" t="s">
        <v>103</v>
      </c>
      <c r="Q259" t="s">
        <v>105</v>
      </c>
    </row>
    <row r="260" spans="1:17">
      <c r="A260" t="s">
        <v>82</v>
      </c>
      <c r="B260" t="s">
        <v>15</v>
      </c>
      <c r="C260" s="1">
        <v>45639</v>
      </c>
      <c r="D260">
        <v>186302558</v>
      </c>
      <c r="E260" t="s">
        <v>119</v>
      </c>
      <c r="F260" t="s">
        <v>212</v>
      </c>
      <c r="G260" t="s">
        <v>213</v>
      </c>
      <c r="H260" s="25">
        <v>9778075610</v>
      </c>
      <c r="I260">
        <v>15.936400000000001</v>
      </c>
      <c r="J260" s="1">
        <v>45639</v>
      </c>
      <c r="K260" t="s">
        <v>102</v>
      </c>
      <c r="L260">
        <v>5000</v>
      </c>
      <c r="M260">
        <v>0</v>
      </c>
      <c r="N260">
        <v>313.73099999999999</v>
      </c>
      <c r="O260" t="s">
        <v>103</v>
      </c>
      <c r="Q260" t="s">
        <v>113</v>
      </c>
    </row>
    <row r="261" spans="1:17">
      <c r="A261" t="s">
        <v>82</v>
      </c>
      <c r="B261" t="s">
        <v>15</v>
      </c>
      <c r="C261" s="1">
        <v>45321.500428240739</v>
      </c>
      <c r="D261">
        <v>163432671</v>
      </c>
      <c r="E261" t="s">
        <v>99</v>
      </c>
      <c r="F261" t="s">
        <v>214</v>
      </c>
      <c r="G261" t="s">
        <v>215</v>
      </c>
      <c r="H261" s="25">
        <v>34055597</v>
      </c>
      <c r="I261">
        <v>148.64510000000001</v>
      </c>
      <c r="J261" s="1">
        <v>45321</v>
      </c>
      <c r="K261" t="s">
        <v>102</v>
      </c>
      <c r="L261">
        <v>30000</v>
      </c>
      <c r="M261">
        <v>0</v>
      </c>
      <c r="N261">
        <v>201.81299999999999</v>
      </c>
      <c r="O261" t="s">
        <v>103</v>
      </c>
      <c r="Q261" t="s">
        <v>105</v>
      </c>
    </row>
    <row r="262" spans="1:17">
      <c r="A262" t="s">
        <v>82</v>
      </c>
      <c r="B262" t="s">
        <v>15</v>
      </c>
      <c r="C262" s="1">
        <v>46004</v>
      </c>
      <c r="D262">
        <v>212014302</v>
      </c>
      <c r="E262" t="s">
        <v>119</v>
      </c>
      <c r="F262" t="s">
        <v>212</v>
      </c>
      <c r="G262" t="s">
        <v>213</v>
      </c>
      <c r="H262" s="25">
        <v>9778075610</v>
      </c>
      <c r="I262">
        <v>16.898399999999999</v>
      </c>
      <c r="J262" s="1">
        <v>46006</v>
      </c>
      <c r="K262" t="s">
        <v>102</v>
      </c>
      <c r="L262">
        <v>5000</v>
      </c>
      <c r="M262">
        <v>0</v>
      </c>
      <c r="N262">
        <v>295.87099999999998</v>
      </c>
      <c r="O262" t="s">
        <v>103</v>
      </c>
      <c r="Q262" t="s">
        <v>113</v>
      </c>
    </row>
    <row r="263" spans="1:17">
      <c r="A263" t="s">
        <v>82</v>
      </c>
      <c r="B263" t="s">
        <v>15</v>
      </c>
      <c r="C263" s="1">
        <v>45974</v>
      </c>
      <c r="D263">
        <v>209848377</v>
      </c>
      <c r="E263" t="s">
        <v>119</v>
      </c>
      <c r="F263" t="s">
        <v>212</v>
      </c>
      <c r="G263" t="s">
        <v>213</v>
      </c>
      <c r="H263" s="25">
        <v>9778075610</v>
      </c>
      <c r="I263">
        <v>16.8063</v>
      </c>
      <c r="J263" s="1">
        <v>45974</v>
      </c>
      <c r="K263" t="s">
        <v>102</v>
      </c>
      <c r="L263">
        <v>5000</v>
      </c>
      <c r="M263">
        <v>0</v>
      </c>
      <c r="N263">
        <v>297.49299999999999</v>
      </c>
      <c r="O263" t="s">
        <v>103</v>
      </c>
      <c r="Q263" t="s">
        <v>113</v>
      </c>
    </row>
    <row r="264" spans="1:17" hidden="1">
      <c r="A264" t="s">
        <v>82</v>
      </c>
      <c r="B264" t="s">
        <v>15</v>
      </c>
      <c r="C264" s="1">
        <v>45943</v>
      </c>
      <c r="D264">
        <v>207709421</v>
      </c>
      <c r="E264" t="s">
        <v>119</v>
      </c>
      <c r="F264" t="s">
        <v>212</v>
      </c>
      <c r="G264" t="s">
        <v>213</v>
      </c>
      <c r="H264" s="25">
        <v>9778075610</v>
      </c>
      <c r="I264">
        <v>0</v>
      </c>
      <c r="J264" s="1">
        <v>46019</v>
      </c>
      <c r="K264" t="s">
        <v>102</v>
      </c>
      <c r="L264">
        <v>5000</v>
      </c>
      <c r="M264">
        <v>0</v>
      </c>
      <c r="N264">
        <v>0</v>
      </c>
      <c r="O264" t="s">
        <v>125</v>
      </c>
      <c r="Q264" t="s">
        <v>113</v>
      </c>
    </row>
    <row r="265" spans="1:17">
      <c r="A265" t="s">
        <v>82</v>
      </c>
      <c r="B265" t="s">
        <v>15</v>
      </c>
      <c r="C265" s="1">
        <v>45913</v>
      </c>
      <c r="D265">
        <v>205571077</v>
      </c>
      <c r="E265" t="s">
        <v>119</v>
      </c>
      <c r="F265" t="s">
        <v>212</v>
      </c>
      <c r="G265" t="s">
        <v>213</v>
      </c>
      <c r="H265" s="25">
        <v>9778075610</v>
      </c>
      <c r="I265">
        <v>16.265999999999998</v>
      </c>
      <c r="J265" s="1">
        <v>45915</v>
      </c>
      <c r="K265" t="s">
        <v>102</v>
      </c>
      <c r="L265">
        <v>5000</v>
      </c>
      <c r="M265">
        <v>0</v>
      </c>
      <c r="N265">
        <v>307.37400000000002</v>
      </c>
      <c r="O265" t="s">
        <v>103</v>
      </c>
      <c r="Q265" t="s">
        <v>113</v>
      </c>
    </row>
    <row r="266" spans="1:17">
      <c r="A266" t="s">
        <v>82</v>
      </c>
      <c r="B266" t="s">
        <v>15</v>
      </c>
      <c r="C266" s="1">
        <v>45882</v>
      </c>
      <c r="D266">
        <v>203455741</v>
      </c>
      <c r="E266" t="s">
        <v>119</v>
      </c>
      <c r="F266" t="s">
        <v>212</v>
      </c>
      <c r="G266" t="s">
        <v>213</v>
      </c>
      <c r="H266" s="25">
        <v>9778075610</v>
      </c>
      <c r="I266">
        <v>15.9673</v>
      </c>
      <c r="J266" s="1">
        <v>45882</v>
      </c>
      <c r="K266" t="s">
        <v>102</v>
      </c>
      <c r="L266">
        <v>5000</v>
      </c>
      <c r="M266">
        <v>0</v>
      </c>
      <c r="N266">
        <v>313.12400000000002</v>
      </c>
      <c r="O266" t="s">
        <v>103</v>
      </c>
      <c r="Q266" t="s">
        <v>113</v>
      </c>
    </row>
    <row r="267" spans="1:17">
      <c r="A267" t="s">
        <v>82</v>
      </c>
      <c r="B267" t="s">
        <v>15</v>
      </c>
      <c r="C267" s="1">
        <v>45851</v>
      </c>
      <c r="D267">
        <v>201277056</v>
      </c>
      <c r="E267" t="s">
        <v>119</v>
      </c>
      <c r="F267" t="s">
        <v>212</v>
      </c>
      <c r="G267" t="s">
        <v>213</v>
      </c>
      <c r="H267" s="25">
        <v>9778075610</v>
      </c>
      <c r="I267">
        <v>16.2315</v>
      </c>
      <c r="J267" s="1">
        <v>45852</v>
      </c>
      <c r="K267" t="s">
        <v>102</v>
      </c>
      <c r="L267">
        <v>5000</v>
      </c>
      <c r="M267">
        <v>0</v>
      </c>
      <c r="N267">
        <v>308.02800000000002</v>
      </c>
      <c r="O267" t="s">
        <v>103</v>
      </c>
      <c r="Q267" t="s">
        <v>113</v>
      </c>
    </row>
    <row r="268" spans="1:17">
      <c r="A268" t="s">
        <v>82</v>
      </c>
      <c r="B268" t="s">
        <v>15</v>
      </c>
      <c r="C268" s="1">
        <v>45821</v>
      </c>
      <c r="D268">
        <v>199137829</v>
      </c>
      <c r="E268" t="s">
        <v>119</v>
      </c>
      <c r="F268" t="s">
        <v>212</v>
      </c>
      <c r="G268" t="s">
        <v>213</v>
      </c>
      <c r="H268" s="25">
        <v>9778075610</v>
      </c>
      <c r="I268">
        <v>15.9659</v>
      </c>
      <c r="J268" s="1">
        <v>45821</v>
      </c>
      <c r="K268" t="s">
        <v>102</v>
      </c>
      <c r="L268">
        <v>5000</v>
      </c>
      <c r="M268">
        <v>0</v>
      </c>
      <c r="N268">
        <v>313.15199999999999</v>
      </c>
      <c r="O268" t="s">
        <v>103</v>
      </c>
      <c r="Q268" t="s">
        <v>113</v>
      </c>
    </row>
    <row r="269" spans="1:17">
      <c r="A269" t="s">
        <v>82</v>
      </c>
      <c r="B269" t="s">
        <v>15</v>
      </c>
      <c r="C269" s="1">
        <v>45790</v>
      </c>
      <c r="D269">
        <v>197008268</v>
      </c>
      <c r="E269" t="s">
        <v>119</v>
      </c>
      <c r="F269" t="s">
        <v>212</v>
      </c>
      <c r="G269" t="s">
        <v>213</v>
      </c>
      <c r="H269" s="25">
        <v>9778075610</v>
      </c>
      <c r="I269">
        <v>15.832599999999999</v>
      </c>
      <c r="J269" s="1">
        <v>45790</v>
      </c>
      <c r="K269" t="s">
        <v>102</v>
      </c>
      <c r="L269">
        <v>5000</v>
      </c>
      <c r="M269">
        <v>0</v>
      </c>
      <c r="N269">
        <v>315.78800000000001</v>
      </c>
      <c r="O269" t="s">
        <v>103</v>
      </c>
      <c r="Q269" t="s">
        <v>113</v>
      </c>
    </row>
    <row r="270" spans="1:17">
      <c r="A270" t="s">
        <v>82</v>
      </c>
      <c r="B270" t="s">
        <v>15</v>
      </c>
      <c r="C270" s="1">
        <v>45760</v>
      </c>
      <c r="D270">
        <v>194768937</v>
      </c>
      <c r="E270" t="s">
        <v>119</v>
      </c>
      <c r="F270" t="s">
        <v>212</v>
      </c>
      <c r="G270" t="s">
        <v>213</v>
      </c>
      <c r="H270" s="25">
        <v>9778075610</v>
      </c>
      <c r="I270">
        <v>15.0282</v>
      </c>
      <c r="J270" s="1">
        <v>45762</v>
      </c>
      <c r="K270" t="s">
        <v>102</v>
      </c>
      <c r="L270">
        <v>5000</v>
      </c>
      <c r="M270">
        <v>0</v>
      </c>
      <c r="N270">
        <v>332.69099999999997</v>
      </c>
      <c r="O270" t="s">
        <v>103</v>
      </c>
      <c r="Q270" t="s">
        <v>113</v>
      </c>
    </row>
    <row r="271" spans="1:17">
      <c r="A271" t="s">
        <v>82</v>
      </c>
      <c r="B271" t="s">
        <v>15</v>
      </c>
      <c r="C271" s="1">
        <v>45729</v>
      </c>
      <c r="D271">
        <v>192727230</v>
      </c>
      <c r="E271" t="s">
        <v>119</v>
      </c>
      <c r="F271" t="s">
        <v>212</v>
      </c>
      <c r="G271" t="s">
        <v>213</v>
      </c>
      <c r="H271" s="25">
        <v>9778075610</v>
      </c>
      <c r="I271">
        <v>14.434699999999999</v>
      </c>
      <c r="J271" s="1">
        <v>45729</v>
      </c>
      <c r="K271" t="s">
        <v>102</v>
      </c>
      <c r="L271">
        <v>5000</v>
      </c>
      <c r="M271">
        <v>0</v>
      </c>
      <c r="N271">
        <v>346.37</v>
      </c>
      <c r="O271" t="s">
        <v>103</v>
      </c>
      <c r="Q271" t="s">
        <v>113</v>
      </c>
    </row>
    <row r="272" spans="1:17">
      <c r="A272" t="s">
        <v>82</v>
      </c>
      <c r="B272" t="s">
        <v>15</v>
      </c>
      <c r="C272" s="1">
        <v>45701</v>
      </c>
      <c r="D272">
        <v>190684988</v>
      </c>
      <c r="E272" t="s">
        <v>119</v>
      </c>
      <c r="F272" t="s">
        <v>212</v>
      </c>
      <c r="G272" t="s">
        <v>213</v>
      </c>
      <c r="H272" s="25">
        <v>9778075610</v>
      </c>
      <c r="I272">
        <v>14.8459</v>
      </c>
      <c r="J272" s="1">
        <v>45701</v>
      </c>
      <c r="K272" t="s">
        <v>102</v>
      </c>
      <c r="L272">
        <v>5000</v>
      </c>
      <c r="M272">
        <v>0</v>
      </c>
      <c r="N272">
        <v>336.77600000000001</v>
      </c>
      <c r="O272" t="s">
        <v>103</v>
      </c>
      <c r="Q272" t="s">
        <v>113</v>
      </c>
    </row>
    <row r="273" spans="1:17">
      <c r="A273" t="s">
        <v>82</v>
      </c>
      <c r="B273" t="s">
        <v>15</v>
      </c>
      <c r="C273" s="1">
        <v>45670</v>
      </c>
      <c r="D273">
        <v>188499345</v>
      </c>
      <c r="E273" t="s">
        <v>119</v>
      </c>
      <c r="F273" t="s">
        <v>212</v>
      </c>
      <c r="G273" t="s">
        <v>213</v>
      </c>
      <c r="H273" s="25">
        <v>9778075610</v>
      </c>
      <c r="I273">
        <v>14.850300000000001</v>
      </c>
      <c r="J273" s="1">
        <v>45670</v>
      </c>
      <c r="K273" t="s">
        <v>102</v>
      </c>
      <c r="L273">
        <v>5000</v>
      </c>
      <c r="M273">
        <v>0</v>
      </c>
      <c r="N273">
        <v>336.67700000000002</v>
      </c>
      <c r="O273" t="s">
        <v>103</v>
      </c>
      <c r="Q273" t="s">
        <v>113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4798-4406-9B45-98C1-81D349601EE7}">
  <dimension ref="A1:K196"/>
  <sheetViews>
    <sheetView topLeftCell="A143" workbookViewId="0">
      <selection activeCell="F173" sqref="F173"/>
    </sheetView>
  </sheetViews>
  <sheetFormatPr baseColWidth="10" defaultRowHeight="16"/>
  <cols>
    <col min="1" max="1" width="14.5" bestFit="1" customWidth="1"/>
    <col min="3" max="3" width="50" bestFit="1" customWidth="1"/>
    <col min="4" max="4" width="45.6640625" bestFit="1" customWidth="1"/>
    <col min="5" max="5" width="13.6640625" customWidth="1"/>
    <col min="6" max="6" width="25.1640625" customWidth="1"/>
    <col min="7" max="7" width="21.83203125" customWidth="1"/>
    <col min="8" max="8" width="19.1640625" bestFit="1" customWidth="1"/>
    <col min="10" max="10" width="14.6640625" customWidth="1"/>
    <col min="11" max="11" width="14.83203125" bestFit="1" customWidth="1"/>
  </cols>
  <sheetData>
    <row r="1" spans="1:11">
      <c r="A1" t="s">
        <v>204</v>
      </c>
      <c r="B1" t="s">
        <v>1</v>
      </c>
      <c r="C1" t="s">
        <v>194</v>
      </c>
      <c r="D1" t="s">
        <v>88</v>
      </c>
      <c r="E1" t="s">
        <v>161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205</v>
      </c>
    </row>
    <row r="2" spans="1:11">
      <c r="A2" s="2" t="s">
        <v>14</v>
      </c>
      <c r="B2" s="3" t="s">
        <v>15</v>
      </c>
      <c r="C2" t="s">
        <v>100</v>
      </c>
      <c r="D2" t="s">
        <v>101</v>
      </c>
      <c r="E2" s="4">
        <v>43798</v>
      </c>
      <c r="F2">
        <v>0</v>
      </c>
      <c r="G2">
        <v>153.16</v>
      </c>
      <c r="H2">
        <v>277.26</v>
      </c>
      <c r="I2">
        <v>0</v>
      </c>
      <c r="J2" t="s">
        <v>200</v>
      </c>
      <c r="K2" s="4"/>
    </row>
    <row r="3" spans="1:11">
      <c r="A3" s="2" t="s">
        <v>14</v>
      </c>
      <c r="B3" s="3" t="s">
        <v>15</v>
      </c>
      <c r="C3" t="s">
        <v>106</v>
      </c>
      <c r="D3" t="s">
        <v>107</v>
      </c>
      <c r="E3" s="4">
        <v>43949</v>
      </c>
      <c r="F3">
        <v>0</v>
      </c>
      <c r="G3">
        <v>19.803000000000001</v>
      </c>
      <c r="H3">
        <v>55.47</v>
      </c>
      <c r="I3">
        <v>2.8010000000000002</v>
      </c>
      <c r="J3" t="s">
        <v>201</v>
      </c>
      <c r="K3" s="4" t="str" cm="1">
        <f t="array" ref="K3">_xlfn.XLOOKUP(
  1,
  ('Mutual Fund Transaction'!G:G='Mutual Fund Dividend'!D144) *
  ('Mutual Fund Transaction'!L:L='Mutual Fund Dividend'!H144) *
  ('Mutual Fund Transaction'!N:N='Mutual Fund Dividend'!I144),
  'Mutual Fund Transaction'!C:C,
  ""
)</f>
        <v/>
      </c>
    </row>
    <row r="4" spans="1:11">
      <c r="A4" s="2" t="s">
        <v>14</v>
      </c>
      <c r="B4" s="3" t="s">
        <v>15</v>
      </c>
      <c r="C4" t="s">
        <v>106</v>
      </c>
      <c r="D4" t="s">
        <v>107</v>
      </c>
      <c r="E4" s="4">
        <v>43978</v>
      </c>
      <c r="F4">
        <v>0</v>
      </c>
      <c r="G4">
        <v>18.888000000000002</v>
      </c>
      <c r="H4">
        <v>294.20999999999998</v>
      </c>
      <c r="I4">
        <v>15.577</v>
      </c>
      <c r="J4" t="s">
        <v>201</v>
      </c>
      <c r="K4" s="4" cm="1">
        <f t="array" ref="K4">_xlfn.XLOOKUP(
  1,
  ('Mutual Fund Transaction'!G:G='Mutual Fund Dividend'!D143) *
  ('Mutual Fund Transaction'!L:L='Mutual Fund Dividend'!H143) *
  ('Mutual Fund Transaction'!N:N='Mutual Fund Dividend'!I143),
  'Mutual Fund Transaction'!C:C,
  ""
)</f>
        <v>45987</v>
      </c>
    </row>
    <row r="5" spans="1:11">
      <c r="A5" s="2" t="s">
        <v>14</v>
      </c>
      <c r="B5" s="3" t="s">
        <v>15</v>
      </c>
      <c r="C5" t="s">
        <v>106</v>
      </c>
      <c r="D5" t="s">
        <v>107</v>
      </c>
      <c r="E5" s="4">
        <v>44008</v>
      </c>
      <c r="F5">
        <v>0</v>
      </c>
      <c r="G5">
        <v>21.050999999999998</v>
      </c>
      <c r="H5">
        <v>297.79000000000002</v>
      </c>
      <c r="I5">
        <v>14.146000000000001</v>
      </c>
      <c r="J5" t="s">
        <v>201</v>
      </c>
      <c r="K5" s="4" t="str" cm="1">
        <f t="array" ref="K5">_xlfn.XLOOKUP(
  1,
  ('Mutual Fund Transaction'!G:G='Mutual Fund Dividend'!D142) *
  ('Mutual Fund Transaction'!L:L='Mutual Fund Dividend'!H142) *
  ('Mutual Fund Transaction'!N:N='Mutual Fund Dividend'!I142),
  'Mutual Fund Transaction'!C:C,
  ""
)</f>
        <v/>
      </c>
    </row>
    <row r="6" spans="1:11">
      <c r="A6" s="2" t="s">
        <v>14</v>
      </c>
      <c r="B6" s="3" t="s">
        <v>15</v>
      </c>
      <c r="C6" t="s">
        <v>110</v>
      </c>
      <c r="D6" t="s">
        <v>120</v>
      </c>
      <c r="E6" s="4">
        <v>44015</v>
      </c>
      <c r="F6">
        <v>0</v>
      </c>
      <c r="G6">
        <v>16.8552</v>
      </c>
      <c r="H6">
        <v>47.65</v>
      </c>
      <c r="I6">
        <v>2.827</v>
      </c>
      <c r="J6" t="s">
        <v>201</v>
      </c>
      <c r="K6" s="4" cm="1">
        <f t="array" ref="K6">_xlfn.XLOOKUP(
  1,
  ('Mutual Fund Transaction'!G:G='Mutual Fund Dividend'!D141) *
  ('Mutual Fund Transaction'!L:L='Mutual Fund Dividend'!H141) *
  ('Mutual Fund Transaction'!N:N='Mutual Fund Dividend'!I141),
  'Mutual Fund Transaction'!C:C,
  ""
)</f>
        <v>45958</v>
      </c>
    </row>
    <row r="7" spans="1:11">
      <c r="A7" s="2" t="s">
        <v>14</v>
      </c>
      <c r="B7" s="3" t="s">
        <v>15</v>
      </c>
      <c r="C7" t="s">
        <v>106</v>
      </c>
      <c r="D7" t="s">
        <v>107</v>
      </c>
      <c r="E7" s="4">
        <v>44040</v>
      </c>
      <c r="F7">
        <v>0</v>
      </c>
      <c r="G7">
        <v>21.317</v>
      </c>
      <c r="H7">
        <v>356.2</v>
      </c>
      <c r="I7">
        <v>16.71</v>
      </c>
      <c r="J7" t="s">
        <v>201</v>
      </c>
      <c r="K7" s="4" t="str" cm="1">
        <f t="array" ref="K7">_xlfn.XLOOKUP(
  1,
  ('Mutual Fund Transaction'!G:G='Mutual Fund Dividend'!D140) *
  ('Mutual Fund Transaction'!L:L='Mutual Fund Dividend'!H140) *
  ('Mutual Fund Transaction'!N:N='Mutual Fund Dividend'!I140),
  'Mutual Fund Transaction'!C:C,
  ""
)</f>
        <v/>
      </c>
    </row>
    <row r="8" spans="1:11">
      <c r="A8" s="2" t="s">
        <v>14</v>
      </c>
      <c r="B8" s="3" t="s">
        <v>15</v>
      </c>
      <c r="C8" t="s">
        <v>110</v>
      </c>
      <c r="D8" t="s">
        <v>120</v>
      </c>
      <c r="E8" s="4">
        <v>44048</v>
      </c>
      <c r="F8">
        <v>0</v>
      </c>
      <c r="G8">
        <v>17.224900000000002</v>
      </c>
      <c r="H8">
        <v>94.51</v>
      </c>
      <c r="I8">
        <v>5.4870000000000001</v>
      </c>
      <c r="J8" t="s">
        <v>201</v>
      </c>
      <c r="K8" s="4" cm="1">
        <f t="array" ref="K8">_xlfn.XLOOKUP(
  1,
  ('Mutual Fund Transaction'!G:G='Mutual Fund Dividend'!D139) *
  ('Mutual Fund Transaction'!L:L='Mutual Fund Dividend'!H139) *
  ('Mutual Fund Transaction'!N:N='Mutual Fund Dividend'!I139),
  'Mutual Fund Transaction'!C:C,
  ""
)</f>
        <v>45926</v>
      </c>
    </row>
    <row r="9" spans="1:11">
      <c r="A9" s="2" t="s">
        <v>14</v>
      </c>
      <c r="B9" s="3" t="s">
        <v>15</v>
      </c>
      <c r="C9" t="s">
        <v>106</v>
      </c>
      <c r="D9" t="s">
        <v>107</v>
      </c>
      <c r="E9" s="4">
        <v>44069</v>
      </c>
      <c r="F9">
        <v>0</v>
      </c>
      <c r="G9">
        <v>22.478999999999999</v>
      </c>
      <c r="H9">
        <v>413.78</v>
      </c>
      <c r="I9">
        <v>18.407</v>
      </c>
      <c r="J9" t="s">
        <v>201</v>
      </c>
      <c r="K9" s="4" t="str" cm="1">
        <f t="array" ref="K9">_xlfn.XLOOKUP(
  1,
  ('Mutual Fund Transaction'!G:G='Mutual Fund Dividend'!D138) *
  ('Mutual Fund Transaction'!L:L='Mutual Fund Dividend'!H138) *
  ('Mutual Fund Transaction'!N:N='Mutual Fund Dividend'!I138),
  'Mutual Fund Transaction'!C:C,
  ""
)</f>
        <v/>
      </c>
    </row>
    <row r="10" spans="1:11">
      <c r="A10" s="2" t="s">
        <v>14</v>
      </c>
      <c r="B10" s="3" t="s">
        <v>15</v>
      </c>
      <c r="C10" t="s">
        <v>110</v>
      </c>
      <c r="D10" t="s">
        <v>120</v>
      </c>
      <c r="E10" s="4">
        <v>44082</v>
      </c>
      <c r="F10">
        <v>0</v>
      </c>
      <c r="G10">
        <v>17.2545</v>
      </c>
      <c r="H10">
        <v>139.71</v>
      </c>
      <c r="I10">
        <v>0</v>
      </c>
      <c r="J10" t="s">
        <v>200</v>
      </c>
      <c r="K10" s="4"/>
    </row>
    <row r="11" spans="1:11">
      <c r="A11" s="2" t="s">
        <v>14</v>
      </c>
      <c r="B11" s="3" t="s">
        <v>15</v>
      </c>
      <c r="C11" t="s">
        <v>106</v>
      </c>
      <c r="D11" t="s">
        <v>107</v>
      </c>
      <c r="E11" s="4">
        <v>44100</v>
      </c>
      <c r="F11">
        <v>0</v>
      </c>
      <c r="G11">
        <v>20.408000000000001</v>
      </c>
      <c r="H11">
        <v>468.54</v>
      </c>
      <c r="I11">
        <v>22.959</v>
      </c>
      <c r="J11" t="s">
        <v>201</v>
      </c>
      <c r="K11" s="4" cm="1">
        <f t="array" ref="K11">_xlfn.XLOOKUP(
  1,
  ('Mutual Fund Transaction'!G:G='Mutual Fund Dividend'!D137) *
  ('Mutual Fund Transaction'!L:L='Mutual Fund Dividend'!H137) *
  ('Mutual Fund Transaction'!N:N='Mutual Fund Dividend'!I137),
  'Mutual Fund Transaction'!C:C,
  ""
)</f>
        <v>45895</v>
      </c>
    </row>
    <row r="12" spans="1:11">
      <c r="A12" s="2" t="s">
        <v>14</v>
      </c>
      <c r="B12" s="3" t="s">
        <v>15</v>
      </c>
      <c r="C12" t="s">
        <v>110</v>
      </c>
      <c r="D12" t="s">
        <v>120</v>
      </c>
      <c r="E12" s="4">
        <v>44109</v>
      </c>
      <c r="F12">
        <v>0</v>
      </c>
      <c r="G12">
        <v>16.7074</v>
      </c>
      <c r="H12">
        <v>189.56</v>
      </c>
      <c r="I12">
        <v>0</v>
      </c>
      <c r="J12" t="s">
        <v>200</v>
      </c>
      <c r="K12" s="4"/>
    </row>
    <row r="13" spans="1:11">
      <c r="A13" s="2" t="s">
        <v>14</v>
      </c>
      <c r="B13" s="3" t="s">
        <v>15</v>
      </c>
      <c r="C13" t="s">
        <v>106</v>
      </c>
      <c r="D13" t="s">
        <v>107</v>
      </c>
      <c r="E13" s="4">
        <v>44131</v>
      </c>
      <c r="F13">
        <v>0</v>
      </c>
      <c r="G13">
        <v>21.027999999999999</v>
      </c>
      <c r="H13">
        <v>529.08000000000004</v>
      </c>
      <c r="I13">
        <v>25.161000000000001</v>
      </c>
      <c r="J13" t="s">
        <v>201</v>
      </c>
      <c r="K13" s="4" t="str" cm="1">
        <f t="array" ref="K13">_xlfn.XLOOKUP(
  1,
  ('Mutual Fund Transaction'!G:G='Mutual Fund Dividend'!D136) *
  ('Mutual Fund Transaction'!L:L='Mutual Fund Dividend'!H136) *
  ('Mutual Fund Transaction'!N:N='Mutual Fund Dividend'!I136),
  'Mutual Fund Transaction'!C:C,
  ""
)</f>
        <v/>
      </c>
    </row>
    <row r="14" spans="1:11">
      <c r="A14" s="2" t="s">
        <v>14</v>
      </c>
      <c r="B14" s="3" t="s">
        <v>15</v>
      </c>
      <c r="C14" t="s">
        <v>110</v>
      </c>
      <c r="D14" t="s">
        <v>120</v>
      </c>
      <c r="E14" s="4">
        <v>44137</v>
      </c>
      <c r="F14">
        <v>0</v>
      </c>
      <c r="G14">
        <v>16.628399999999999</v>
      </c>
      <c r="H14">
        <v>237.9</v>
      </c>
      <c r="I14">
        <v>0</v>
      </c>
      <c r="J14" t="s">
        <v>200</v>
      </c>
      <c r="K14" s="4"/>
    </row>
    <row r="15" spans="1:11">
      <c r="A15" s="2" t="s">
        <v>14</v>
      </c>
      <c r="B15" s="3" t="s">
        <v>15</v>
      </c>
      <c r="C15" t="s">
        <v>100</v>
      </c>
      <c r="D15" t="s">
        <v>101</v>
      </c>
      <c r="E15" s="4">
        <v>44160</v>
      </c>
      <c r="F15">
        <v>0</v>
      </c>
      <c r="G15">
        <v>149.91999999999999</v>
      </c>
      <c r="H15">
        <v>242.61</v>
      </c>
      <c r="I15">
        <v>0</v>
      </c>
      <c r="J15" t="s">
        <v>200</v>
      </c>
      <c r="K15" s="4"/>
    </row>
    <row r="16" spans="1:11">
      <c r="A16" s="2" t="s">
        <v>14</v>
      </c>
      <c r="B16" s="3" t="s">
        <v>15</v>
      </c>
      <c r="C16" t="s">
        <v>106</v>
      </c>
      <c r="D16" t="s">
        <v>107</v>
      </c>
      <c r="E16" s="4">
        <v>44161</v>
      </c>
      <c r="F16">
        <v>0</v>
      </c>
      <c r="G16">
        <v>23.113</v>
      </c>
      <c r="H16">
        <v>589.80999999999995</v>
      </c>
      <c r="I16">
        <v>25.518999999999998</v>
      </c>
      <c r="J16" t="s">
        <v>201</v>
      </c>
      <c r="K16" s="4" t="str" cm="1">
        <f t="array" ref="K16">_xlfn.XLOOKUP(
  1,
  ('Mutual Fund Transaction'!G:G='Mutual Fund Dividend'!D135) *
  ('Mutual Fund Transaction'!L:L='Mutual Fund Dividend'!H135) *
  ('Mutual Fund Transaction'!N:N='Mutual Fund Dividend'!I135),
  'Mutual Fund Transaction'!C:C,
  ""
)</f>
        <v/>
      </c>
    </row>
    <row r="17" spans="1:11">
      <c r="A17" s="2" t="s">
        <v>14</v>
      </c>
      <c r="B17" s="3" t="s">
        <v>15</v>
      </c>
      <c r="C17" t="s">
        <v>110</v>
      </c>
      <c r="D17" t="s">
        <v>120</v>
      </c>
      <c r="E17" s="4">
        <v>44167</v>
      </c>
      <c r="F17">
        <v>0</v>
      </c>
      <c r="G17">
        <v>18.259</v>
      </c>
      <c r="H17">
        <v>282.81</v>
      </c>
      <c r="I17">
        <v>0</v>
      </c>
      <c r="J17" t="s">
        <v>200</v>
      </c>
      <c r="K17" s="4"/>
    </row>
    <row r="18" spans="1:11">
      <c r="A18" s="2" t="s">
        <v>14</v>
      </c>
      <c r="B18" s="3" t="s">
        <v>15</v>
      </c>
      <c r="C18" t="s">
        <v>106</v>
      </c>
      <c r="D18" t="s">
        <v>107</v>
      </c>
      <c r="E18" s="4">
        <v>44194</v>
      </c>
      <c r="F18">
        <v>0</v>
      </c>
      <c r="G18">
        <v>24.85</v>
      </c>
      <c r="H18">
        <v>690.49</v>
      </c>
      <c r="I18">
        <v>27.785</v>
      </c>
      <c r="J18" t="s">
        <v>201</v>
      </c>
      <c r="K18" s="4" cm="1">
        <f t="array" ref="K18">_xlfn.XLOOKUP(
  1,
  ('Mutual Fund Transaction'!G:G='Mutual Fund Dividend'!D134) *
  ('Mutual Fund Transaction'!L:L='Mutual Fund Dividend'!H134) *
  ('Mutual Fund Transaction'!N:N='Mutual Fund Dividend'!I134),
  'Mutual Fund Transaction'!C:C,
  ""
)</f>
        <v>45864</v>
      </c>
    </row>
    <row r="19" spans="1:11">
      <c r="A19" s="2" t="s">
        <v>14</v>
      </c>
      <c r="B19" s="3" t="s">
        <v>15</v>
      </c>
      <c r="C19" t="s">
        <v>110</v>
      </c>
      <c r="D19" t="s">
        <v>120</v>
      </c>
      <c r="E19" s="4">
        <v>44200</v>
      </c>
      <c r="F19">
        <v>0</v>
      </c>
      <c r="G19">
        <v>19.593599999999999</v>
      </c>
      <c r="H19">
        <v>324.70999999999998</v>
      </c>
      <c r="I19">
        <v>0</v>
      </c>
      <c r="J19" t="s">
        <v>200</v>
      </c>
      <c r="K19" s="4"/>
    </row>
    <row r="20" spans="1:11">
      <c r="A20" s="2" t="s">
        <v>14</v>
      </c>
      <c r="B20" s="3" t="s">
        <v>15</v>
      </c>
      <c r="C20" t="s">
        <v>106</v>
      </c>
      <c r="D20" t="s">
        <v>107</v>
      </c>
      <c r="E20" s="4">
        <v>44222</v>
      </c>
      <c r="F20">
        <v>0</v>
      </c>
      <c r="G20">
        <v>25.074000000000002</v>
      </c>
      <c r="H20">
        <v>371.88</v>
      </c>
      <c r="I20">
        <v>14.831</v>
      </c>
      <c r="J20" t="s">
        <v>201</v>
      </c>
      <c r="K20" s="4" t="str" cm="1">
        <f t="array" ref="K20">_xlfn.XLOOKUP(
  1,
  ('Mutual Fund Transaction'!G:G='Mutual Fund Dividend'!D133) *
  ('Mutual Fund Transaction'!L:L='Mutual Fund Dividend'!H133) *
  ('Mutual Fund Transaction'!N:N='Mutual Fund Dividend'!I133),
  'Mutual Fund Transaction'!C:C,
  ""
)</f>
        <v/>
      </c>
    </row>
    <row r="21" spans="1:11">
      <c r="A21" s="2" t="s">
        <v>14</v>
      </c>
      <c r="B21" s="3" t="s">
        <v>15</v>
      </c>
      <c r="C21" t="s">
        <v>110</v>
      </c>
      <c r="D21" t="s">
        <v>120</v>
      </c>
      <c r="E21" s="4">
        <v>44229</v>
      </c>
      <c r="F21">
        <v>0</v>
      </c>
      <c r="G21">
        <v>19.9224</v>
      </c>
      <c r="H21">
        <v>339.11</v>
      </c>
      <c r="I21">
        <v>0</v>
      </c>
      <c r="J21" t="s">
        <v>200</v>
      </c>
      <c r="K21" s="4"/>
    </row>
    <row r="22" spans="1:11">
      <c r="A22" s="2" t="s">
        <v>14</v>
      </c>
      <c r="B22" s="3" t="s">
        <v>15</v>
      </c>
      <c r="C22" t="s">
        <v>106</v>
      </c>
      <c r="D22" t="s">
        <v>107</v>
      </c>
      <c r="E22" s="4">
        <v>44253</v>
      </c>
      <c r="F22">
        <v>0</v>
      </c>
      <c r="G22">
        <v>27.677</v>
      </c>
      <c r="H22">
        <v>690.69</v>
      </c>
      <c r="I22">
        <v>24.954000000000001</v>
      </c>
      <c r="J22" t="s">
        <v>201</v>
      </c>
      <c r="K22" s="4" cm="1">
        <f t="array" ref="K22">_xlfn.XLOOKUP(
  1,
  ('Mutual Fund Transaction'!G:G='Mutual Fund Dividend'!D132) *
  ('Mutual Fund Transaction'!L:L='Mutual Fund Dividend'!H132) *
  ('Mutual Fund Transaction'!N:N='Mutual Fund Dividend'!I132),
  'Mutual Fund Transaction'!C:C,
  ""
)</f>
        <v>45834</v>
      </c>
    </row>
    <row r="23" spans="1:11">
      <c r="A23" s="2" t="s">
        <v>14</v>
      </c>
      <c r="B23" s="3" t="s">
        <v>15</v>
      </c>
      <c r="C23" t="s">
        <v>110</v>
      </c>
      <c r="D23" t="s">
        <v>120</v>
      </c>
      <c r="E23" s="4">
        <v>44257</v>
      </c>
      <c r="F23">
        <v>0</v>
      </c>
      <c r="G23">
        <v>21.132000000000001</v>
      </c>
      <c r="H23">
        <v>374.31</v>
      </c>
      <c r="I23">
        <v>0</v>
      </c>
      <c r="J23" t="s">
        <v>200</v>
      </c>
      <c r="K23" s="4"/>
    </row>
    <row r="24" spans="1:11">
      <c r="A24" s="2" t="s">
        <v>14</v>
      </c>
      <c r="B24" s="3" t="s">
        <v>15</v>
      </c>
      <c r="C24" t="s">
        <v>106</v>
      </c>
      <c r="D24" t="s">
        <v>107</v>
      </c>
      <c r="E24" s="4">
        <v>44281</v>
      </c>
      <c r="F24">
        <v>0</v>
      </c>
      <c r="G24">
        <v>25.885999999999999</v>
      </c>
      <c r="H24">
        <v>734.47</v>
      </c>
      <c r="I24">
        <v>28.372</v>
      </c>
      <c r="J24" t="s">
        <v>201</v>
      </c>
      <c r="K24" s="4" t="str" cm="1">
        <f t="array" ref="K24">_xlfn.XLOOKUP(
  1,
  ('Mutual Fund Transaction'!G:G='Mutual Fund Dividend'!D131) *
  ('Mutual Fund Transaction'!L:L='Mutual Fund Dividend'!H131) *
  ('Mutual Fund Transaction'!N:N='Mutual Fund Dividend'!I131),
  'Mutual Fund Transaction'!C:C,
  ""
)</f>
        <v/>
      </c>
    </row>
    <row r="25" spans="1:11">
      <c r="A25" s="2" t="s">
        <v>14</v>
      </c>
      <c r="B25" s="3" t="s">
        <v>15</v>
      </c>
      <c r="C25" t="s">
        <v>110</v>
      </c>
      <c r="D25" t="s">
        <v>120</v>
      </c>
      <c r="E25" s="4">
        <v>44292</v>
      </c>
      <c r="F25">
        <v>0</v>
      </c>
      <c r="G25">
        <v>20.528300000000002</v>
      </c>
      <c r="H25">
        <v>443.78</v>
      </c>
      <c r="I25">
        <v>0</v>
      </c>
      <c r="J25" t="s">
        <v>200</v>
      </c>
      <c r="K25" s="4"/>
    </row>
    <row r="26" spans="1:11">
      <c r="A26" s="2" t="s">
        <v>14</v>
      </c>
      <c r="B26" s="3" t="s">
        <v>15</v>
      </c>
      <c r="C26" t="s">
        <v>106</v>
      </c>
      <c r="D26" t="s">
        <v>107</v>
      </c>
      <c r="E26" s="4">
        <v>44313</v>
      </c>
      <c r="F26">
        <v>0</v>
      </c>
      <c r="G26">
        <v>25.696000000000002</v>
      </c>
      <c r="H26">
        <v>844.68</v>
      </c>
      <c r="I26">
        <v>32.869999999999997</v>
      </c>
      <c r="J26" t="s">
        <v>201</v>
      </c>
      <c r="K26" s="4" cm="1">
        <f t="array" ref="K26">_xlfn.XLOOKUP(
  1,
  ('Mutual Fund Transaction'!G:G='Mutual Fund Dividend'!D130) *
  ('Mutual Fund Transaction'!L:L='Mutual Fund Dividend'!H130) *
  ('Mutual Fund Transaction'!N:N='Mutual Fund Dividend'!I130),
  'Mutual Fund Transaction'!C:C,
  ""
)</f>
        <v>45804</v>
      </c>
    </row>
    <row r="27" spans="1:11">
      <c r="A27" s="2" t="s">
        <v>14</v>
      </c>
      <c r="B27" s="3" t="s">
        <v>15</v>
      </c>
      <c r="C27" t="s">
        <v>110</v>
      </c>
      <c r="D27" t="s">
        <v>120</v>
      </c>
      <c r="E27" s="4">
        <v>44319</v>
      </c>
      <c r="F27">
        <v>0</v>
      </c>
      <c r="G27">
        <v>20.727399999999999</v>
      </c>
      <c r="H27">
        <v>483.22</v>
      </c>
      <c r="I27">
        <v>0</v>
      </c>
      <c r="J27" t="s">
        <v>200</v>
      </c>
      <c r="K27" s="4"/>
    </row>
    <row r="28" spans="1:11">
      <c r="A28" s="2" t="s">
        <v>14</v>
      </c>
      <c r="B28" s="3" t="s">
        <v>15</v>
      </c>
      <c r="C28" t="s">
        <v>106</v>
      </c>
      <c r="D28" t="s">
        <v>107</v>
      </c>
      <c r="E28" s="4">
        <v>44342</v>
      </c>
      <c r="F28">
        <v>0</v>
      </c>
      <c r="G28">
        <v>27.675999999999998</v>
      </c>
      <c r="H28">
        <v>896.3</v>
      </c>
      <c r="I28">
        <v>32.384</v>
      </c>
      <c r="J28" t="s">
        <v>201</v>
      </c>
      <c r="K28" s="4" t="str" cm="1">
        <f t="array" ref="K28">_xlfn.XLOOKUP(
  1,
  ('Mutual Fund Transaction'!G:G='Mutual Fund Dividend'!D129) *
  ('Mutual Fund Transaction'!L:L='Mutual Fund Dividend'!H129) *
  ('Mutual Fund Transaction'!N:N='Mutual Fund Dividend'!I129),
  'Mutual Fund Transaction'!C:C,
  ""
)</f>
        <v/>
      </c>
    </row>
    <row r="29" spans="1:11">
      <c r="A29" s="2" t="s">
        <v>14</v>
      </c>
      <c r="B29" s="3" t="s">
        <v>15</v>
      </c>
      <c r="C29" t="s">
        <v>110</v>
      </c>
      <c r="D29" t="s">
        <v>120</v>
      </c>
      <c r="E29" s="4">
        <v>44348</v>
      </c>
      <c r="F29">
        <v>0</v>
      </c>
      <c r="G29">
        <v>21.773700000000002</v>
      </c>
      <c r="H29">
        <v>520.33000000000004</v>
      </c>
      <c r="I29">
        <v>0</v>
      </c>
      <c r="J29" t="s">
        <v>200</v>
      </c>
      <c r="K29" s="4"/>
    </row>
    <row r="30" spans="1:11">
      <c r="A30" s="2" t="s">
        <v>14</v>
      </c>
      <c r="B30" s="3" t="s">
        <v>15</v>
      </c>
      <c r="C30" t="s">
        <v>106</v>
      </c>
      <c r="D30" t="s">
        <v>107</v>
      </c>
      <c r="E30" s="4">
        <v>44373</v>
      </c>
      <c r="F30">
        <v>0</v>
      </c>
      <c r="G30">
        <v>28.135999999999999</v>
      </c>
      <c r="H30">
        <v>945.19</v>
      </c>
      <c r="I30">
        <v>33.591999999999999</v>
      </c>
      <c r="J30" t="s">
        <v>201</v>
      </c>
      <c r="K30" s="4" cm="1">
        <f t="array" ref="K30">_xlfn.XLOOKUP(
  1,
  ('Mutual Fund Transaction'!G:G='Mutual Fund Dividend'!D128) *
  ('Mutual Fund Transaction'!L:L='Mutual Fund Dividend'!H128) *
  ('Mutual Fund Transaction'!N:N='Mutual Fund Dividend'!I128),
  'Mutual Fund Transaction'!C:C,
  ""
)</f>
        <v>45773</v>
      </c>
    </row>
    <row r="31" spans="1:11">
      <c r="A31" s="2" t="s">
        <v>14</v>
      </c>
      <c r="B31" s="3" t="s">
        <v>15</v>
      </c>
      <c r="C31" t="s">
        <v>110</v>
      </c>
      <c r="D31" t="s">
        <v>120</v>
      </c>
      <c r="E31" s="4">
        <v>44378</v>
      </c>
      <c r="F31">
        <v>0</v>
      </c>
      <c r="G31">
        <v>21.767299999999999</v>
      </c>
      <c r="H31">
        <v>557.08000000000004</v>
      </c>
      <c r="I31">
        <v>0</v>
      </c>
      <c r="J31" t="s">
        <v>200</v>
      </c>
      <c r="K31" s="4"/>
    </row>
    <row r="32" spans="1:11">
      <c r="A32" s="2" t="s">
        <v>14</v>
      </c>
      <c r="B32" s="3" t="s">
        <v>15</v>
      </c>
      <c r="C32" t="s">
        <v>106</v>
      </c>
      <c r="D32" t="s">
        <v>107</v>
      </c>
      <c r="E32" s="4">
        <v>44404</v>
      </c>
      <c r="F32">
        <v>0</v>
      </c>
      <c r="G32">
        <v>28.31</v>
      </c>
      <c r="H32">
        <v>993.73</v>
      </c>
      <c r="I32">
        <v>35.1</v>
      </c>
      <c r="J32" t="s">
        <v>201</v>
      </c>
      <c r="K32" s="4" t="str" cm="1">
        <f t="array" ref="K32">_xlfn.XLOOKUP(
  1,
  ('Mutual Fund Transaction'!G:G='Mutual Fund Dividend'!D127) *
  ('Mutual Fund Transaction'!L:L='Mutual Fund Dividend'!H127) *
  ('Mutual Fund Transaction'!N:N='Mutual Fund Dividend'!I127),
  'Mutual Fund Transaction'!C:C,
  ""
)</f>
        <v/>
      </c>
    </row>
    <row r="33" spans="1:11">
      <c r="A33" s="2" t="s">
        <v>14</v>
      </c>
      <c r="B33" s="3" t="s">
        <v>15</v>
      </c>
      <c r="C33" t="s">
        <v>110</v>
      </c>
      <c r="D33" t="s">
        <v>120</v>
      </c>
      <c r="E33" s="4">
        <v>44411</v>
      </c>
      <c r="F33">
        <v>0</v>
      </c>
      <c r="G33">
        <v>22.529199999999999</v>
      </c>
      <c r="H33">
        <v>593.55999999999995</v>
      </c>
      <c r="I33">
        <v>0</v>
      </c>
      <c r="J33" t="s">
        <v>200</v>
      </c>
      <c r="K33" s="4"/>
    </row>
    <row r="34" spans="1:11">
      <c r="A34" s="2" t="s">
        <v>14</v>
      </c>
      <c r="B34" s="3" t="s">
        <v>15</v>
      </c>
      <c r="C34" t="s">
        <v>202</v>
      </c>
      <c r="D34" t="s">
        <v>203</v>
      </c>
      <c r="E34" s="4">
        <v>44434</v>
      </c>
      <c r="F34">
        <v>0</v>
      </c>
      <c r="G34">
        <v>55.09</v>
      </c>
      <c r="H34">
        <v>16771.91</v>
      </c>
      <c r="I34">
        <v>0</v>
      </c>
      <c r="J34" t="s">
        <v>200</v>
      </c>
      <c r="K34" s="4"/>
    </row>
    <row r="35" spans="1:11">
      <c r="A35" s="2" t="s">
        <v>14</v>
      </c>
      <c r="B35" s="3" t="s">
        <v>15</v>
      </c>
      <c r="C35" t="s">
        <v>106</v>
      </c>
      <c r="D35" t="s">
        <v>107</v>
      </c>
      <c r="E35" s="4">
        <v>44434</v>
      </c>
      <c r="F35">
        <v>0</v>
      </c>
      <c r="G35">
        <v>27.806000000000001</v>
      </c>
      <c r="H35">
        <v>570.64</v>
      </c>
      <c r="I35">
        <v>20.521000000000001</v>
      </c>
      <c r="J35" t="s">
        <v>201</v>
      </c>
      <c r="K35" s="4" cm="1">
        <f t="array" ref="K35">_xlfn.XLOOKUP(
  1,
  ('Mutual Fund Transaction'!G:G='Mutual Fund Dividend'!D126) *
  ('Mutual Fund Transaction'!L:L='Mutual Fund Dividend'!H126) *
  ('Mutual Fund Transaction'!N:N='Mutual Fund Dividend'!I126),
  'Mutual Fund Transaction'!C:C,
  ""
)</f>
        <v>45742</v>
      </c>
    </row>
    <row r="36" spans="1:11">
      <c r="A36" s="2" t="s">
        <v>14</v>
      </c>
      <c r="B36" s="3" t="s">
        <v>15</v>
      </c>
      <c r="C36" t="s">
        <v>110</v>
      </c>
      <c r="D36" t="s">
        <v>120</v>
      </c>
      <c r="E36" s="4">
        <v>44440</v>
      </c>
      <c r="F36">
        <v>0</v>
      </c>
      <c r="G36">
        <v>22.885100000000001</v>
      </c>
      <c r="H36">
        <v>629.41999999999996</v>
      </c>
      <c r="I36">
        <v>0</v>
      </c>
      <c r="J36" t="s">
        <v>200</v>
      </c>
      <c r="K36" s="4"/>
    </row>
    <row r="37" spans="1:11">
      <c r="A37" s="2" t="s">
        <v>14</v>
      </c>
      <c r="B37" s="3" t="s">
        <v>15</v>
      </c>
      <c r="C37" t="s">
        <v>106</v>
      </c>
      <c r="D37" t="s">
        <v>107</v>
      </c>
      <c r="E37" s="4">
        <v>44467</v>
      </c>
      <c r="F37">
        <v>0</v>
      </c>
      <c r="G37">
        <v>29.068000000000001</v>
      </c>
      <c r="H37">
        <v>979.03</v>
      </c>
      <c r="I37">
        <v>33.679000000000002</v>
      </c>
      <c r="J37" t="s">
        <v>201</v>
      </c>
      <c r="K37" s="4" t="str" cm="1">
        <f t="array" ref="K37">_xlfn.XLOOKUP(
  1,
  ('Mutual Fund Transaction'!G:G='Mutual Fund Dividend'!D125) *
  ('Mutual Fund Transaction'!L:L='Mutual Fund Dividend'!H125) *
  ('Mutual Fund Transaction'!N:N='Mutual Fund Dividend'!I125),
  'Mutual Fund Transaction'!C:C,
  ""
)</f>
        <v/>
      </c>
    </row>
    <row r="38" spans="1:11">
      <c r="A38" s="2" t="s">
        <v>14</v>
      </c>
      <c r="B38" s="3" t="s">
        <v>15</v>
      </c>
      <c r="C38" t="s">
        <v>110</v>
      </c>
      <c r="D38" t="s">
        <v>120</v>
      </c>
      <c r="E38" s="4">
        <v>44474</v>
      </c>
      <c r="F38">
        <v>0</v>
      </c>
      <c r="G38">
        <v>24.4148</v>
      </c>
      <c r="H38">
        <v>663.35</v>
      </c>
      <c r="I38">
        <v>0</v>
      </c>
      <c r="J38" t="s">
        <v>200</v>
      </c>
      <c r="K38" s="4"/>
    </row>
    <row r="39" spans="1:11">
      <c r="A39" s="2" t="s">
        <v>14</v>
      </c>
      <c r="B39" s="3" t="s">
        <v>15</v>
      </c>
      <c r="C39" t="s">
        <v>106</v>
      </c>
      <c r="D39" t="s">
        <v>107</v>
      </c>
      <c r="E39" s="4">
        <v>44495</v>
      </c>
      <c r="F39">
        <v>0</v>
      </c>
      <c r="G39">
        <v>30.065000000000001</v>
      </c>
      <c r="H39">
        <v>1155.06</v>
      </c>
      <c r="I39">
        <v>38.417000000000002</v>
      </c>
      <c r="J39" t="s">
        <v>201</v>
      </c>
      <c r="K39" s="4" cm="1">
        <f t="array" ref="K39">_xlfn.XLOOKUP(
  1,
  ('Mutual Fund Transaction'!G:G='Mutual Fund Dividend'!D124) *
  ('Mutual Fund Transaction'!L:L='Mutual Fund Dividend'!H124) *
  ('Mutual Fund Transaction'!N:N='Mutual Fund Dividend'!I124),
  'Mutual Fund Transaction'!C:C,
  ""
)</f>
        <v>45714</v>
      </c>
    </row>
    <row r="40" spans="1:11">
      <c r="A40" s="2" t="s">
        <v>14</v>
      </c>
      <c r="B40" s="3" t="s">
        <v>15</v>
      </c>
      <c r="C40" t="s">
        <v>110</v>
      </c>
      <c r="D40" t="s">
        <v>120</v>
      </c>
      <c r="E40" s="4">
        <v>44501</v>
      </c>
      <c r="F40">
        <v>0</v>
      </c>
      <c r="G40">
        <v>24.5488</v>
      </c>
      <c r="H40">
        <v>237.69</v>
      </c>
      <c r="I40">
        <v>0</v>
      </c>
      <c r="J40" t="s">
        <v>200</v>
      </c>
      <c r="K40" s="4"/>
    </row>
    <row r="41" spans="1:11">
      <c r="A41" s="2" t="s">
        <v>14</v>
      </c>
      <c r="B41" s="3" t="s">
        <v>15</v>
      </c>
      <c r="C41" t="s">
        <v>106</v>
      </c>
      <c r="D41" t="s">
        <v>107</v>
      </c>
      <c r="E41" s="4">
        <v>44526</v>
      </c>
      <c r="F41">
        <v>0</v>
      </c>
      <c r="G41">
        <v>29.202000000000002</v>
      </c>
      <c r="H41">
        <v>1202.83</v>
      </c>
      <c r="I41">
        <v>41.188000000000002</v>
      </c>
      <c r="J41" t="s">
        <v>201</v>
      </c>
      <c r="K41" s="4" t="str" cm="1">
        <f t="array" ref="K41">_xlfn.XLOOKUP(
  1,
  ('Mutual Fund Transaction'!G:G='Mutual Fund Dividend'!D123) *
  ('Mutual Fund Transaction'!L:L='Mutual Fund Dividend'!H123) *
  ('Mutual Fund Transaction'!N:N='Mutual Fund Dividend'!I123),
  'Mutual Fund Transaction'!C:C,
  ""
)</f>
        <v/>
      </c>
    </row>
    <row r="42" spans="1:11">
      <c r="A42" s="2" t="s">
        <v>14</v>
      </c>
      <c r="B42" s="3" t="s">
        <v>15</v>
      </c>
      <c r="C42" t="s">
        <v>110</v>
      </c>
      <c r="D42" t="s">
        <v>120</v>
      </c>
      <c r="E42" s="4">
        <v>44531</v>
      </c>
      <c r="F42">
        <v>0</v>
      </c>
      <c r="G42">
        <v>23.702999999999999</v>
      </c>
      <c r="H42">
        <v>655.48</v>
      </c>
      <c r="I42">
        <v>0</v>
      </c>
      <c r="J42" t="s">
        <v>200</v>
      </c>
      <c r="K42" s="4"/>
    </row>
    <row r="43" spans="1:11">
      <c r="A43" s="2" t="s">
        <v>14</v>
      </c>
      <c r="B43" s="3" t="s">
        <v>15</v>
      </c>
      <c r="C43" t="s">
        <v>106</v>
      </c>
      <c r="D43" t="s">
        <v>107</v>
      </c>
      <c r="E43" s="4">
        <v>44558</v>
      </c>
      <c r="F43">
        <v>0</v>
      </c>
      <c r="G43">
        <v>28.091000000000001</v>
      </c>
      <c r="H43">
        <v>1254.29</v>
      </c>
      <c r="I43">
        <v>44.649000000000001</v>
      </c>
      <c r="J43" t="s">
        <v>201</v>
      </c>
      <c r="K43" s="4" cm="1">
        <f t="array" ref="K43">_xlfn.XLOOKUP(
  1,
  ('Mutual Fund Transaction'!G:G='Mutual Fund Dividend'!D122) *
  ('Mutual Fund Transaction'!L:L='Mutual Fund Dividend'!H122) *
  ('Mutual Fund Transaction'!N:N='Mutual Fund Dividend'!I122),
  'Mutual Fund Transaction'!C:C,
  ""
)</f>
        <v>45685</v>
      </c>
    </row>
    <row r="44" spans="1:11">
      <c r="A44" s="2" t="s">
        <v>14</v>
      </c>
      <c r="B44" s="3" t="s">
        <v>15</v>
      </c>
      <c r="C44" t="s">
        <v>110</v>
      </c>
      <c r="D44" t="s">
        <v>120</v>
      </c>
      <c r="E44" s="4">
        <v>44564</v>
      </c>
      <c r="F44">
        <v>0</v>
      </c>
      <c r="G44">
        <v>23.888000000000002</v>
      </c>
      <c r="H44">
        <v>686.84</v>
      </c>
      <c r="I44">
        <v>0</v>
      </c>
      <c r="J44" t="s">
        <v>200</v>
      </c>
      <c r="K44" s="4"/>
    </row>
    <row r="45" spans="1:11">
      <c r="A45" s="2" t="s">
        <v>14</v>
      </c>
      <c r="B45" s="3" t="s">
        <v>15</v>
      </c>
      <c r="C45" t="s">
        <v>106</v>
      </c>
      <c r="D45" t="s">
        <v>107</v>
      </c>
      <c r="E45" s="4">
        <v>44587</v>
      </c>
      <c r="F45">
        <v>0</v>
      </c>
      <c r="G45">
        <v>28.965</v>
      </c>
      <c r="H45">
        <v>1305.82</v>
      </c>
      <c r="I45">
        <v>45.08</v>
      </c>
      <c r="J45" t="s">
        <v>201</v>
      </c>
      <c r="K45" s="4" t="str" cm="1">
        <f t="array" ref="K45">_xlfn.XLOOKUP(
  1,
  ('Mutual Fund Transaction'!G:G='Mutual Fund Dividend'!D121) *
  ('Mutual Fund Transaction'!L:L='Mutual Fund Dividend'!H121) *
  ('Mutual Fund Transaction'!N:N='Mutual Fund Dividend'!I121),
  'Mutual Fund Transaction'!C:C,
  ""
)</f>
        <v/>
      </c>
    </row>
    <row r="46" spans="1:11">
      <c r="A46" s="2" t="s">
        <v>14</v>
      </c>
      <c r="B46" s="3" t="s">
        <v>15</v>
      </c>
      <c r="C46" t="s">
        <v>110</v>
      </c>
      <c r="D46" t="s">
        <v>120</v>
      </c>
      <c r="E46" s="4">
        <v>44594</v>
      </c>
      <c r="F46">
        <v>0</v>
      </c>
      <c r="G46">
        <v>24.835000000000001</v>
      </c>
      <c r="H46">
        <v>716.12</v>
      </c>
      <c r="I46">
        <v>0</v>
      </c>
      <c r="J46" t="s">
        <v>200</v>
      </c>
      <c r="K46" s="4"/>
    </row>
    <row r="47" spans="1:11">
      <c r="A47" s="2" t="s">
        <v>14</v>
      </c>
      <c r="B47" s="3" t="s">
        <v>15</v>
      </c>
      <c r="C47" t="s">
        <v>100</v>
      </c>
      <c r="D47" t="s">
        <v>101</v>
      </c>
      <c r="E47" s="4">
        <v>44617</v>
      </c>
      <c r="F47">
        <v>0</v>
      </c>
      <c r="G47">
        <v>162.41</v>
      </c>
      <c r="H47">
        <v>272.14999999999998</v>
      </c>
      <c r="I47">
        <v>0</v>
      </c>
      <c r="J47" t="s">
        <v>200</v>
      </c>
      <c r="K47" s="4"/>
    </row>
    <row r="48" spans="1:11">
      <c r="A48" s="2" t="s">
        <v>14</v>
      </c>
      <c r="B48" s="3" t="s">
        <v>15</v>
      </c>
      <c r="C48" t="s">
        <v>106</v>
      </c>
      <c r="D48" t="s">
        <v>107</v>
      </c>
      <c r="E48" s="4">
        <v>44618</v>
      </c>
      <c r="F48">
        <v>0</v>
      </c>
      <c r="G48">
        <v>27.949000000000002</v>
      </c>
      <c r="H48">
        <v>1356.21</v>
      </c>
      <c r="I48">
        <v>48.521999999999998</v>
      </c>
      <c r="J48" t="s">
        <v>201</v>
      </c>
      <c r="K48" s="4" cm="1">
        <f t="array" ref="K48">_xlfn.XLOOKUP(
  1,
  ('Mutual Fund Transaction'!G:G='Mutual Fund Dividend'!D120) *
  ('Mutual Fund Transaction'!L:L='Mutual Fund Dividend'!H120) *
  ('Mutual Fund Transaction'!N:N='Mutual Fund Dividend'!I120),
  'Mutual Fund Transaction'!C:C,
  ""
)</f>
        <v>45653</v>
      </c>
    </row>
    <row r="49" spans="1:11">
      <c r="A49" s="2" t="s">
        <v>14</v>
      </c>
      <c r="B49" s="3" t="s">
        <v>15</v>
      </c>
      <c r="C49" t="s">
        <v>110</v>
      </c>
      <c r="D49" t="s">
        <v>120</v>
      </c>
      <c r="E49" s="4">
        <v>44622</v>
      </c>
      <c r="F49">
        <v>0</v>
      </c>
      <c r="G49">
        <v>23.9331</v>
      </c>
      <c r="H49">
        <v>747.15</v>
      </c>
      <c r="I49">
        <v>0</v>
      </c>
      <c r="J49" t="s">
        <v>200</v>
      </c>
      <c r="K49" s="4"/>
    </row>
    <row r="50" spans="1:11">
      <c r="A50" s="2" t="s">
        <v>14</v>
      </c>
      <c r="B50" s="3" t="s">
        <v>15</v>
      </c>
      <c r="C50" t="s">
        <v>106</v>
      </c>
      <c r="D50" t="s">
        <v>107</v>
      </c>
      <c r="E50" s="4">
        <v>44646</v>
      </c>
      <c r="F50">
        <v>0</v>
      </c>
      <c r="G50">
        <v>28.556000000000001</v>
      </c>
      <c r="H50">
        <v>1408.94</v>
      </c>
      <c r="I50">
        <v>49.337000000000003</v>
      </c>
      <c r="J50" t="s">
        <v>201</v>
      </c>
      <c r="K50" s="4" t="str" cm="1">
        <f t="array" ref="K50">_xlfn.XLOOKUP(
  1,
  ('Mutual Fund Transaction'!G:G='Mutual Fund Dividend'!D119) *
  ('Mutual Fund Transaction'!L:L='Mutual Fund Dividend'!H119) *
  ('Mutual Fund Transaction'!N:N='Mutual Fund Dividend'!I119),
  'Mutual Fund Transaction'!C:C,
  ""
)</f>
        <v/>
      </c>
    </row>
    <row r="51" spans="1:11">
      <c r="A51" s="2" t="s">
        <v>14</v>
      </c>
      <c r="B51" s="3" t="s">
        <v>15</v>
      </c>
      <c r="C51" t="s">
        <v>110</v>
      </c>
      <c r="D51" t="s">
        <v>120</v>
      </c>
      <c r="E51" s="4">
        <v>44655</v>
      </c>
      <c r="F51">
        <v>0</v>
      </c>
      <c r="G51">
        <v>25.0792</v>
      </c>
      <c r="H51">
        <v>862.89</v>
      </c>
      <c r="I51">
        <v>0</v>
      </c>
      <c r="J51" t="s">
        <v>200</v>
      </c>
      <c r="K51" s="4"/>
    </row>
    <row r="52" spans="1:11">
      <c r="A52" s="2" t="s">
        <v>14</v>
      </c>
      <c r="B52" s="3" t="s">
        <v>15</v>
      </c>
      <c r="C52" t="s">
        <v>106</v>
      </c>
      <c r="D52" t="s">
        <v>107</v>
      </c>
      <c r="E52" s="4">
        <v>44677</v>
      </c>
      <c r="F52">
        <v>0</v>
      </c>
      <c r="G52">
        <v>29.009</v>
      </c>
      <c r="H52">
        <v>1624.09</v>
      </c>
      <c r="I52">
        <v>55.982999999999997</v>
      </c>
      <c r="J52" t="s">
        <v>201</v>
      </c>
      <c r="K52" s="4" cm="1">
        <f t="array" ref="K52">_xlfn.XLOOKUP(
  1,
  ('Mutual Fund Transaction'!G:G='Mutual Fund Dividend'!D118) *
  ('Mutual Fund Transaction'!L:L='Mutual Fund Dividend'!H118) *
  ('Mutual Fund Transaction'!N:N='Mutual Fund Dividend'!I118),
  'Mutual Fund Transaction'!C:C,
  ""
)</f>
        <v>45622</v>
      </c>
    </row>
    <row r="53" spans="1:11">
      <c r="A53" s="2" t="s">
        <v>14</v>
      </c>
      <c r="B53" s="3" t="s">
        <v>15</v>
      </c>
      <c r="C53" t="s">
        <v>110</v>
      </c>
      <c r="D53" t="s">
        <v>120</v>
      </c>
      <c r="E53" s="4">
        <v>44685</v>
      </c>
      <c r="F53">
        <v>0</v>
      </c>
      <c r="G53">
        <v>24.382100000000001</v>
      </c>
      <c r="H53">
        <v>895.26</v>
      </c>
      <c r="I53">
        <v>0</v>
      </c>
      <c r="J53" t="s">
        <v>200</v>
      </c>
      <c r="K53" s="4"/>
    </row>
    <row r="54" spans="1:11">
      <c r="A54" s="2" t="s">
        <v>14</v>
      </c>
      <c r="B54" s="3" t="s">
        <v>15</v>
      </c>
      <c r="C54" t="s">
        <v>106</v>
      </c>
      <c r="D54" t="s">
        <v>107</v>
      </c>
      <c r="E54" s="4">
        <v>44707</v>
      </c>
      <c r="F54">
        <v>0</v>
      </c>
      <c r="G54">
        <v>27.681000000000001</v>
      </c>
      <c r="H54">
        <v>1683.08</v>
      </c>
      <c r="I54">
        <v>60.8</v>
      </c>
      <c r="J54" t="s">
        <v>201</v>
      </c>
      <c r="K54" s="4" t="str" cm="1">
        <f t="array" ref="K54">_xlfn.XLOOKUP(
  1,
  ('Mutual Fund Transaction'!G:G='Mutual Fund Dividend'!D117) *
  ('Mutual Fund Transaction'!L:L='Mutual Fund Dividend'!H117) *
  ('Mutual Fund Transaction'!N:N='Mutual Fund Dividend'!I117),
  'Mutual Fund Transaction'!C:C,
  ""
)</f>
        <v/>
      </c>
    </row>
    <row r="55" spans="1:11">
      <c r="A55" s="2" t="s">
        <v>14</v>
      </c>
      <c r="B55" s="3" t="s">
        <v>15</v>
      </c>
      <c r="C55" t="s">
        <v>110</v>
      </c>
      <c r="D55" t="s">
        <v>120</v>
      </c>
      <c r="E55" s="4">
        <v>44713</v>
      </c>
      <c r="F55">
        <v>0</v>
      </c>
      <c r="G55">
        <v>24.1159</v>
      </c>
      <c r="H55">
        <v>929.01</v>
      </c>
      <c r="I55">
        <v>0</v>
      </c>
      <c r="J55" t="s">
        <v>200</v>
      </c>
      <c r="K55" s="4"/>
    </row>
    <row r="56" spans="1:11">
      <c r="A56" s="2" t="s">
        <v>14</v>
      </c>
      <c r="B56" s="3" t="s">
        <v>15</v>
      </c>
      <c r="C56" t="s">
        <v>106</v>
      </c>
      <c r="D56" t="s">
        <v>107</v>
      </c>
      <c r="E56" s="4">
        <v>44740</v>
      </c>
      <c r="F56">
        <v>0</v>
      </c>
      <c r="G56">
        <v>27.326000000000001</v>
      </c>
      <c r="H56">
        <v>1240.82</v>
      </c>
      <c r="I56">
        <v>45.405999999999999</v>
      </c>
      <c r="J56" t="s">
        <v>201</v>
      </c>
      <c r="K56" s="4" cm="1">
        <f t="array" ref="K56">_xlfn.XLOOKUP(
  1,
  ('Mutual Fund Transaction'!G:G='Mutual Fund Dividend'!D116) *
  ('Mutual Fund Transaction'!L:L='Mutual Fund Dividend'!H116) *
  ('Mutual Fund Transaction'!N:N='Mutual Fund Dividend'!I116),
  'Mutual Fund Transaction'!C:C,
  ""
)</f>
        <v>45591</v>
      </c>
    </row>
    <row r="57" spans="1:11">
      <c r="A57" s="2" t="s">
        <v>14</v>
      </c>
      <c r="B57" s="3" t="s">
        <v>15</v>
      </c>
      <c r="C57" t="s">
        <v>110</v>
      </c>
      <c r="D57" t="s">
        <v>120</v>
      </c>
      <c r="E57" s="4">
        <v>44746</v>
      </c>
      <c r="F57">
        <v>0</v>
      </c>
      <c r="G57">
        <v>23.267700000000001</v>
      </c>
      <c r="H57">
        <v>963.8</v>
      </c>
      <c r="I57">
        <v>0</v>
      </c>
      <c r="J57" t="s">
        <v>200</v>
      </c>
      <c r="K57" s="4"/>
    </row>
    <row r="58" spans="1:11">
      <c r="A58" s="2" t="s">
        <v>14</v>
      </c>
      <c r="B58" s="3" t="s">
        <v>15</v>
      </c>
      <c r="C58" t="s">
        <v>106</v>
      </c>
      <c r="D58" t="s">
        <v>107</v>
      </c>
      <c r="E58" s="4">
        <v>44768</v>
      </c>
      <c r="F58">
        <v>0</v>
      </c>
      <c r="G58">
        <v>28.448</v>
      </c>
      <c r="H58">
        <v>1624.07</v>
      </c>
      <c r="I58">
        <v>57.085999999999999</v>
      </c>
      <c r="J58" t="s">
        <v>201</v>
      </c>
      <c r="K58" s="4" t="str" cm="1">
        <f t="array" ref="K58">_xlfn.XLOOKUP(
  1,
  ('Mutual Fund Transaction'!G:G='Mutual Fund Dividend'!D115) *
  ('Mutual Fund Transaction'!L:L='Mutual Fund Dividend'!H115) *
  ('Mutual Fund Transaction'!N:N='Mutual Fund Dividend'!I115),
  'Mutual Fund Transaction'!C:C,
  ""
)</f>
        <v/>
      </c>
    </row>
    <row r="59" spans="1:11">
      <c r="A59" s="2" t="s">
        <v>14</v>
      </c>
      <c r="B59" s="3" t="s">
        <v>15</v>
      </c>
      <c r="C59" t="s">
        <v>110</v>
      </c>
      <c r="D59" t="s">
        <v>120</v>
      </c>
      <c r="E59" s="4">
        <v>44775</v>
      </c>
      <c r="F59">
        <v>0</v>
      </c>
      <c r="G59">
        <v>24.435400000000001</v>
      </c>
      <c r="H59">
        <v>532.42999999999995</v>
      </c>
      <c r="I59">
        <v>0</v>
      </c>
      <c r="J59" t="s">
        <v>200</v>
      </c>
      <c r="K59" s="4"/>
    </row>
    <row r="60" spans="1:11">
      <c r="A60" s="2" t="s">
        <v>14</v>
      </c>
      <c r="B60" s="3" t="s">
        <v>15</v>
      </c>
      <c r="C60" t="s">
        <v>202</v>
      </c>
      <c r="D60" t="s">
        <v>203</v>
      </c>
      <c r="E60" s="4">
        <v>44799</v>
      </c>
      <c r="F60">
        <v>0</v>
      </c>
      <c r="G60">
        <v>54.24</v>
      </c>
      <c r="H60">
        <v>17970.05</v>
      </c>
      <c r="I60">
        <v>0</v>
      </c>
      <c r="J60" t="s">
        <v>200</v>
      </c>
      <c r="K60" s="4"/>
    </row>
    <row r="61" spans="1:11">
      <c r="A61" s="2" t="s">
        <v>14</v>
      </c>
      <c r="B61" s="3" t="s">
        <v>15</v>
      </c>
      <c r="C61" t="s">
        <v>106</v>
      </c>
      <c r="D61" t="s">
        <v>107</v>
      </c>
      <c r="E61" s="4">
        <v>44799</v>
      </c>
      <c r="F61">
        <v>0</v>
      </c>
      <c r="G61">
        <v>29.463000000000001</v>
      </c>
      <c r="H61">
        <v>1678.21</v>
      </c>
      <c r="I61">
        <v>56.957000000000001</v>
      </c>
      <c r="J61" t="s">
        <v>201</v>
      </c>
      <c r="K61" s="4" cm="1">
        <f t="array" ref="K61">_xlfn.XLOOKUP(
  1,
  ('Mutual Fund Transaction'!G:G='Mutual Fund Dividend'!D114) *
  ('Mutual Fund Transaction'!L:L='Mutual Fund Dividend'!H114) *
  ('Mutual Fund Transaction'!N:N='Mutual Fund Dividend'!I114),
  'Mutual Fund Transaction'!C:C,
  ""
)</f>
        <v>45561</v>
      </c>
    </row>
    <row r="62" spans="1:11">
      <c r="A62" s="2" t="s">
        <v>14</v>
      </c>
      <c r="B62" s="3" t="s">
        <v>15</v>
      </c>
      <c r="C62" t="s">
        <v>110</v>
      </c>
      <c r="D62" t="s">
        <v>120</v>
      </c>
      <c r="E62" s="4">
        <v>44805</v>
      </c>
      <c r="F62">
        <v>0</v>
      </c>
      <c r="G62">
        <v>24.5564</v>
      </c>
      <c r="H62">
        <v>926.86</v>
      </c>
      <c r="I62">
        <v>0</v>
      </c>
      <c r="J62" t="s">
        <v>200</v>
      </c>
      <c r="K62" s="4"/>
    </row>
    <row r="63" spans="1:11">
      <c r="A63" s="2" t="s">
        <v>14</v>
      </c>
      <c r="B63" s="3" t="s">
        <v>15</v>
      </c>
      <c r="C63" t="s">
        <v>106</v>
      </c>
      <c r="D63" t="s">
        <v>107</v>
      </c>
      <c r="E63" s="4">
        <v>44831</v>
      </c>
      <c r="F63">
        <v>0</v>
      </c>
      <c r="G63">
        <v>28.853000000000002</v>
      </c>
      <c r="H63">
        <v>1731.27</v>
      </c>
      <c r="I63">
        <v>60</v>
      </c>
      <c r="J63" t="s">
        <v>201</v>
      </c>
      <c r="K63" s="4" t="str" cm="1">
        <f t="array" ref="K63">_xlfn.XLOOKUP(
  1,
  ('Mutual Fund Transaction'!G:G='Mutual Fund Dividend'!D113) *
  ('Mutual Fund Transaction'!L:L='Mutual Fund Dividend'!H113) *
  ('Mutual Fund Transaction'!N:N='Mutual Fund Dividend'!I113),
  'Mutual Fund Transaction'!C:C,
  ""
)</f>
        <v/>
      </c>
    </row>
    <row r="64" spans="1:11">
      <c r="A64" s="2" t="s">
        <v>14</v>
      </c>
      <c r="B64" s="3" t="s">
        <v>15</v>
      </c>
      <c r="C64" t="s">
        <v>110</v>
      </c>
      <c r="D64" t="s">
        <v>120</v>
      </c>
      <c r="E64" s="4">
        <v>44837</v>
      </c>
      <c r="F64">
        <v>0</v>
      </c>
      <c r="G64">
        <v>24.4239</v>
      </c>
      <c r="H64">
        <v>957.14</v>
      </c>
      <c r="I64">
        <v>0</v>
      </c>
      <c r="J64" t="s">
        <v>200</v>
      </c>
      <c r="K64" s="4"/>
    </row>
    <row r="65" spans="1:11">
      <c r="A65" s="2" t="s">
        <v>14</v>
      </c>
      <c r="B65" s="3" t="s">
        <v>15</v>
      </c>
      <c r="C65" t="s">
        <v>106</v>
      </c>
      <c r="D65" t="s">
        <v>107</v>
      </c>
      <c r="E65" s="4">
        <v>44860</v>
      </c>
      <c r="F65">
        <v>0</v>
      </c>
      <c r="G65">
        <v>29.751000000000001</v>
      </c>
      <c r="H65">
        <v>1786.24</v>
      </c>
      <c r="I65">
        <v>60.036999999999999</v>
      </c>
      <c r="J65" t="s">
        <v>201</v>
      </c>
      <c r="K65" s="4" cm="1">
        <f t="array" ref="K65">_xlfn.XLOOKUP(
  1,
  ('Mutual Fund Transaction'!G:G='Mutual Fund Dividend'!D112) *
  ('Mutual Fund Transaction'!L:L='Mutual Fund Dividend'!H112) *
  ('Mutual Fund Transaction'!N:N='Mutual Fund Dividend'!I112),
  'Mutual Fund Transaction'!C:C,
  ""
)</f>
        <v>45531</v>
      </c>
    </row>
    <row r="66" spans="1:11">
      <c r="A66" s="2" t="s">
        <v>14</v>
      </c>
      <c r="B66" s="3" t="s">
        <v>15</v>
      </c>
      <c r="C66" t="s">
        <v>110</v>
      </c>
      <c r="D66" t="s">
        <v>120</v>
      </c>
      <c r="E66" s="4">
        <v>44869</v>
      </c>
      <c r="F66">
        <v>0</v>
      </c>
      <c r="G66">
        <v>25.273099999999999</v>
      </c>
      <c r="H66">
        <v>985.21</v>
      </c>
      <c r="I66">
        <v>0</v>
      </c>
      <c r="J66" t="s">
        <v>200</v>
      </c>
      <c r="K66" s="4"/>
    </row>
    <row r="67" spans="1:11">
      <c r="A67" s="2" t="s">
        <v>14</v>
      </c>
      <c r="B67" s="3" t="s">
        <v>15</v>
      </c>
      <c r="C67" t="s">
        <v>106</v>
      </c>
      <c r="D67" t="s">
        <v>107</v>
      </c>
      <c r="E67" s="4">
        <v>44891</v>
      </c>
      <c r="F67">
        <v>0</v>
      </c>
      <c r="G67">
        <v>30.617999999999999</v>
      </c>
      <c r="H67">
        <v>1839.32</v>
      </c>
      <c r="I67">
        <v>60.07</v>
      </c>
      <c r="J67" t="s">
        <v>201</v>
      </c>
      <c r="K67" s="4" t="str" cm="1">
        <f t="array" ref="K67">_xlfn.XLOOKUP(
  1,
  ('Mutual Fund Transaction'!G:G='Mutual Fund Dividend'!D111) *
  ('Mutual Fund Transaction'!L:L='Mutual Fund Dividend'!H111) *
  ('Mutual Fund Transaction'!N:N='Mutual Fund Dividend'!I111),
  'Mutual Fund Transaction'!C:C,
  ""
)</f>
        <v/>
      </c>
    </row>
    <row r="68" spans="1:11">
      <c r="A68" s="2" t="s">
        <v>14</v>
      </c>
      <c r="B68" s="3" t="s">
        <v>15</v>
      </c>
      <c r="C68" t="s">
        <v>110</v>
      </c>
      <c r="D68" t="s">
        <v>120</v>
      </c>
      <c r="E68" s="4">
        <v>44900</v>
      </c>
      <c r="F68">
        <v>0</v>
      </c>
      <c r="G68">
        <v>25.950500000000002</v>
      </c>
      <c r="H68">
        <v>1013.51</v>
      </c>
      <c r="I68">
        <v>0</v>
      </c>
      <c r="J68" t="s">
        <v>200</v>
      </c>
      <c r="K68" s="4"/>
    </row>
    <row r="69" spans="1:11">
      <c r="A69" s="2" t="s">
        <v>14</v>
      </c>
      <c r="B69" s="3" t="s">
        <v>15</v>
      </c>
      <c r="C69" t="s">
        <v>106</v>
      </c>
      <c r="D69" t="s">
        <v>107</v>
      </c>
      <c r="E69" s="4">
        <v>44922</v>
      </c>
      <c r="F69">
        <v>0</v>
      </c>
      <c r="G69">
        <v>29.992999999999999</v>
      </c>
      <c r="H69">
        <v>1891.25</v>
      </c>
      <c r="I69">
        <v>63.052999999999997</v>
      </c>
      <c r="J69" t="s">
        <v>201</v>
      </c>
      <c r="K69" s="4" t="str" cm="1">
        <f t="array" ref="K69">_xlfn.XLOOKUP(
  1,
  ('Mutual Fund Transaction'!G:G='Mutual Fund Dividend'!D110) *
  ('Mutual Fund Transaction'!L:L='Mutual Fund Dividend'!H110) *
  ('Mutual Fund Transaction'!N:N='Mutual Fund Dividend'!I110),
  'Mutual Fund Transaction'!C:C,
  ""
)</f>
        <v/>
      </c>
    </row>
    <row r="70" spans="1:11">
      <c r="A70" s="2" t="s">
        <v>14</v>
      </c>
      <c r="B70" s="3" t="s">
        <v>15</v>
      </c>
      <c r="C70" t="s">
        <v>110</v>
      </c>
      <c r="D70" t="s">
        <v>120</v>
      </c>
      <c r="E70" s="4">
        <v>44930</v>
      </c>
      <c r="F70">
        <v>0</v>
      </c>
      <c r="G70">
        <v>25.65</v>
      </c>
      <c r="H70">
        <v>1041.8</v>
      </c>
      <c r="I70">
        <v>0</v>
      </c>
      <c r="J70" t="s">
        <v>200</v>
      </c>
      <c r="K70" s="4"/>
    </row>
    <row r="71" spans="1:11">
      <c r="A71" s="2" t="s">
        <v>14</v>
      </c>
      <c r="B71" s="3" t="s">
        <v>15</v>
      </c>
      <c r="C71" t="s">
        <v>106</v>
      </c>
      <c r="D71" t="s">
        <v>107</v>
      </c>
      <c r="E71" s="4">
        <v>44952</v>
      </c>
      <c r="F71">
        <v>0</v>
      </c>
      <c r="G71">
        <v>29.949000000000002</v>
      </c>
      <c r="H71">
        <v>1944.78</v>
      </c>
      <c r="I71">
        <v>64.933000000000007</v>
      </c>
      <c r="J71" t="s">
        <v>201</v>
      </c>
      <c r="K71" s="4" cm="1">
        <f t="array" ref="K71">_xlfn.XLOOKUP(
  1,
  ('Mutual Fund Transaction'!G:G='Mutual Fund Dividend'!D109) *
  ('Mutual Fund Transaction'!L:L='Mutual Fund Dividend'!H109) *
  ('Mutual Fund Transaction'!N:N='Mutual Fund Dividend'!I109),
  'Mutual Fund Transaction'!C:C,
  ""
)</f>
        <v>45499</v>
      </c>
    </row>
    <row r="72" spans="1:11">
      <c r="A72" s="2" t="s">
        <v>14</v>
      </c>
      <c r="B72" s="3" t="s">
        <v>15</v>
      </c>
      <c r="C72" t="s">
        <v>110</v>
      </c>
      <c r="D72" t="s">
        <v>120</v>
      </c>
      <c r="E72" s="4">
        <v>44960</v>
      </c>
      <c r="F72">
        <v>0</v>
      </c>
      <c r="G72">
        <v>25.448899999999998</v>
      </c>
      <c r="H72">
        <v>1070.1199999999999</v>
      </c>
      <c r="I72">
        <v>0</v>
      </c>
      <c r="J72" t="s">
        <v>200</v>
      </c>
      <c r="K72" s="4"/>
    </row>
    <row r="73" spans="1:11">
      <c r="A73" s="2" t="s">
        <v>14</v>
      </c>
      <c r="B73" s="3" t="s">
        <v>15</v>
      </c>
      <c r="C73" t="s">
        <v>100</v>
      </c>
      <c r="D73" t="s">
        <v>101</v>
      </c>
      <c r="E73" s="4">
        <v>44979</v>
      </c>
      <c r="F73">
        <v>0</v>
      </c>
      <c r="G73">
        <v>154.57</v>
      </c>
      <c r="H73">
        <v>185.94</v>
      </c>
      <c r="I73">
        <v>0</v>
      </c>
      <c r="J73" t="s">
        <v>200</v>
      </c>
      <c r="K73" s="4"/>
    </row>
    <row r="74" spans="1:11">
      <c r="A74" s="2" t="s">
        <v>14</v>
      </c>
      <c r="B74" s="3" t="s">
        <v>15</v>
      </c>
      <c r="C74" t="s">
        <v>106</v>
      </c>
      <c r="D74" t="s">
        <v>107</v>
      </c>
      <c r="E74" s="4">
        <v>44985</v>
      </c>
      <c r="F74">
        <v>0</v>
      </c>
      <c r="G74">
        <v>29.251000000000001</v>
      </c>
      <c r="H74">
        <v>1999.64</v>
      </c>
      <c r="I74">
        <v>68.358000000000004</v>
      </c>
      <c r="J74" t="s">
        <v>201</v>
      </c>
      <c r="K74" s="4" t="str" cm="1">
        <f t="array" ref="K74">_xlfn.XLOOKUP(
  1,
  ('Mutual Fund Transaction'!G:G='Mutual Fund Dividend'!D108) *
  ('Mutual Fund Transaction'!L:L='Mutual Fund Dividend'!H108) *
  ('Mutual Fund Transaction'!N:N='Mutual Fund Dividend'!I108),
  'Mutual Fund Transaction'!C:C,
  ""
)</f>
        <v/>
      </c>
    </row>
    <row r="75" spans="1:11">
      <c r="A75" s="2" t="s">
        <v>14</v>
      </c>
      <c r="B75" s="3" t="s">
        <v>15</v>
      </c>
      <c r="C75" t="s">
        <v>110</v>
      </c>
      <c r="D75" t="s">
        <v>120</v>
      </c>
      <c r="E75" s="4">
        <v>44988</v>
      </c>
      <c r="F75">
        <v>0</v>
      </c>
      <c r="G75">
        <v>25.147099999999998</v>
      </c>
      <c r="H75">
        <v>1099.05</v>
      </c>
      <c r="I75">
        <v>0</v>
      </c>
      <c r="J75" t="s">
        <v>200</v>
      </c>
      <c r="K75" s="4"/>
    </row>
    <row r="76" spans="1:11">
      <c r="A76" s="2" t="s">
        <v>14</v>
      </c>
      <c r="B76" s="3" t="s">
        <v>15</v>
      </c>
      <c r="C76" t="s">
        <v>106</v>
      </c>
      <c r="D76" t="s">
        <v>107</v>
      </c>
      <c r="E76" s="4">
        <v>45013</v>
      </c>
      <c r="F76">
        <v>0</v>
      </c>
      <c r="G76">
        <v>28.827999999999999</v>
      </c>
      <c r="H76">
        <v>2055.9299999999998</v>
      </c>
      <c r="I76">
        <v>71.313999999999993</v>
      </c>
      <c r="J76" t="s">
        <v>201</v>
      </c>
      <c r="K76" s="4" cm="1">
        <f t="array" ref="K76">_xlfn.XLOOKUP(
  1,
  ('Mutual Fund Transaction'!G:G='Mutual Fund Dividend'!D107) *
  ('Mutual Fund Transaction'!L:L='Mutual Fund Dividend'!H107) *
  ('Mutual Fund Transaction'!N:N='Mutual Fund Dividend'!I107),
  'Mutual Fund Transaction'!C:C,
  ""
)</f>
        <v>45469</v>
      </c>
    </row>
    <row r="77" spans="1:11">
      <c r="A77" s="2" t="s">
        <v>14</v>
      </c>
      <c r="B77" s="3" t="s">
        <v>15</v>
      </c>
      <c r="C77" t="s">
        <v>110</v>
      </c>
      <c r="D77" t="s">
        <v>120</v>
      </c>
      <c r="E77" s="4">
        <v>45021</v>
      </c>
      <c r="F77">
        <v>0</v>
      </c>
      <c r="G77">
        <v>25.309200000000001</v>
      </c>
      <c r="H77">
        <v>1253.3900000000001</v>
      </c>
      <c r="I77">
        <v>0</v>
      </c>
      <c r="J77" t="s">
        <v>200</v>
      </c>
      <c r="K77" s="4"/>
    </row>
    <row r="78" spans="1:11">
      <c r="A78" s="2" t="s">
        <v>14</v>
      </c>
      <c r="B78" s="3" t="s">
        <v>15</v>
      </c>
      <c r="C78" t="s">
        <v>106</v>
      </c>
      <c r="D78" t="s">
        <v>107</v>
      </c>
      <c r="E78" s="4">
        <v>45042</v>
      </c>
      <c r="F78">
        <v>0</v>
      </c>
      <c r="G78">
        <v>29.690999999999999</v>
      </c>
      <c r="H78">
        <v>2076.75</v>
      </c>
      <c r="I78">
        <v>69.941999999999993</v>
      </c>
      <c r="J78" t="s">
        <v>201</v>
      </c>
      <c r="K78" s="4" t="str" cm="1">
        <f t="array" ref="K78">_xlfn.XLOOKUP(
  1,
  ('Mutual Fund Transaction'!G:G='Mutual Fund Dividend'!D106) *
  ('Mutual Fund Transaction'!L:L='Mutual Fund Dividend'!H106) *
  ('Mutual Fund Transaction'!N:N='Mutual Fund Dividend'!I106),
  'Mutual Fund Transaction'!C:C,
  ""
)</f>
        <v/>
      </c>
    </row>
    <row r="79" spans="1:11">
      <c r="A79" s="2" t="s">
        <v>14</v>
      </c>
      <c r="B79" s="3" t="s">
        <v>15</v>
      </c>
      <c r="C79" t="s">
        <v>110</v>
      </c>
      <c r="D79" t="s">
        <v>120</v>
      </c>
      <c r="E79" s="4">
        <v>45051</v>
      </c>
      <c r="F79">
        <v>0</v>
      </c>
      <c r="G79">
        <v>25.6297</v>
      </c>
      <c r="H79">
        <v>1285.05</v>
      </c>
      <c r="I79">
        <v>0</v>
      </c>
      <c r="J79" t="s">
        <v>200</v>
      </c>
      <c r="K79" s="4"/>
    </row>
    <row r="80" spans="1:11">
      <c r="A80" s="2" t="s">
        <v>14</v>
      </c>
      <c r="B80" s="3" t="s">
        <v>15</v>
      </c>
      <c r="C80" t="s">
        <v>106</v>
      </c>
      <c r="D80" t="s">
        <v>107</v>
      </c>
      <c r="E80" s="4">
        <v>45072</v>
      </c>
      <c r="F80">
        <v>0</v>
      </c>
      <c r="G80">
        <v>30.068999999999999</v>
      </c>
      <c r="H80">
        <v>1710.09</v>
      </c>
      <c r="I80">
        <v>56.869</v>
      </c>
      <c r="J80" t="s">
        <v>201</v>
      </c>
      <c r="K80" s="4" cm="1">
        <f t="array" ref="K80">_xlfn.XLOOKUP(
  1,
  ('Mutual Fund Transaction'!G:G='Mutual Fund Dividend'!D105) *
  ('Mutual Fund Transaction'!L:L='Mutual Fund Dividend'!H105) *
  ('Mutual Fund Transaction'!N:N='Mutual Fund Dividend'!I105),
  'Mutual Fund Transaction'!C:C,
  ""
)</f>
        <v>45440</v>
      </c>
    </row>
    <row r="81" spans="1:11">
      <c r="A81" s="2" t="s">
        <v>14</v>
      </c>
      <c r="B81" s="3" t="s">
        <v>15</v>
      </c>
      <c r="C81" t="s">
        <v>110</v>
      </c>
      <c r="D81" t="s">
        <v>120</v>
      </c>
      <c r="E81" s="4">
        <v>45079</v>
      </c>
      <c r="F81">
        <v>0</v>
      </c>
      <c r="G81">
        <v>25.930800000000001</v>
      </c>
      <c r="H81">
        <v>1316.22</v>
      </c>
      <c r="I81">
        <v>0</v>
      </c>
      <c r="J81" t="s">
        <v>200</v>
      </c>
      <c r="K81" s="4"/>
    </row>
    <row r="82" spans="1:11">
      <c r="A82" s="2" t="s">
        <v>14</v>
      </c>
      <c r="B82" s="3" t="s">
        <v>15</v>
      </c>
      <c r="C82" t="s">
        <v>106</v>
      </c>
      <c r="D82" t="s">
        <v>107</v>
      </c>
      <c r="E82" s="4">
        <v>45104</v>
      </c>
      <c r="F82">
        <v>0</v>
      </c>
      <c r="G82">
        <v>30.631</v>
      </c>
      <c r="H82">
        <v>1964.11</v>
      </c>
      <c r="I82">
        <v>64.117999999999995</v>
      </c>
      <c r="J82" t="s">
        <v>201</v>
      </c>
      <c r="K82" s="4" t="str" cm="1">
        <f t="array" ref="K82">_xlfn.XLOOKUP(
  1,
  ('Mutual Fund Transaction'!G:G='Mutual Fund Dividend'!D104) *
  ('Mutual Fund Transaction'!L:L='Mutual Fund Dividend'!H104) *
  ('Mutual Fund Transaction'!N:N='Mutual Fund Dividend'!I104),
  'Mutual Fund Transaction'!C:C,
  ""
)</f>
        <v/>
      </c>
    </row>
    <row r="83" spans="1:11">
      <c r="A83" s="2" t="s">
        <v>14</v>
      </c>
      <c r="B83" s="3" t="s">
        <v>15</v>
      </c>
      <c r="C83" t="s">
        <v>110</v>
      </c>
      <c r="D83" t="s">
        <v>120</v>
      </c>
      <c r="E83" s="4">
        <v>45111</v>
      </c>
      <c r="F83">
        <v>0</v>
      </c>
      <c r="G83">
        <v>26.475899999999999</v>
      </c>
      <c r="H83">
        <v>826</v>
      </c>
      <c r="I83">
        <v>0</v>
      </c>
      <c r="J83" t="s">
        <v>200</v>
      </c>
      <c r="K83" s="4"/>
    </row>
    <row r="84" spans="1:11">
      <c r="A84" s="2" t="s">
        <v>14</v>
      </c>
      <c r="B84" s="3" t="s">
        <v>15</v>
      </c>
      <c r="C84" t="s">
        <v>106</v>
      </c>
      <c r="D84" t="s">
        <v>107</v>
      </c>
      <c r="E84" s="4">
        <v>45133</v>
      </c>
      <c r="F84">
        <v>0</v>
      </c>
      <c r="G84">
        <v>31.876000000000001</v>
      </c>
      <c r="H84">
        <v>2011</v>
      </c>
      <c r="I84">
        <v>63.085000000000001</v>
      </c>
      <c r="J84" t="s">
        <v>201</v>
      </c>
      <c r="K84" s="4" cm="1">
        <f t="array" ref="K84">_xlfn.XLOOKUP(
  1,
  ('Mutual Fund Transaction'!G:G='Mutual Fund Dividend'!D103) *
  ('Mutual Fund Transaction'!L:L='Mutual Fund Dividend'!H103) *
  ('Mutual Fund Transaction'!N:N='Mutual Fund Dividend'!I103),
  'Mutual Fund Transaction'!C:C,
  ""
)</f>
        <v>45408</v>
      </c>
    </row>
    <row r="85" spans="1:11">
      <c r="A85" s="2" t="s">
        <v>14</v>
      </c>
      <c r="B85" s="3" t="s">
        <v>15</v>
      </c>
      <c r="C85" t="s">
        <v>110</v>
      </c>
      <c r="D85" t="s">
        <v>120</v>
      </c>
      <c r="E85" s="4">
        <v>45142</v>
      </c>
      <c r="F85">
        <v>0</v>
      </c>
      <c r="G85">
        <v>27.389700000000001</v>
      </c>
      <c r="H85">
        <v>1238.69</v>
      </c>
      <c r="I85">
        <v>0</v>
      </c>
      <c r="J85" t="s">
        <v>200</v>
      </c>
      <c r="K85" s="4" cm="1">
        <f t="array" ref="K85">_xlfn.XLOOKUP(
  1,
  ('Mutual Fund Transaction'!G:G='Mutual Fund Dividend'!D61) *
  ('Mutual Fund Transaction'!L:L='Mutual Fund Dividend'!H61),
  'Mutual Fund Transaction'!C:C,
  ""
)</f>
        <v>44799</v>
      </c>
    </row>
    <row r="86" spans="1:11">
      <c r="A86" s="2" t="s">
        <v>14</v>
      </c>
      <c r="B86" s="3" t="s">
        <v>15</v>
      </c>
      <c r="C86" t="s">
        <v>114</v>
      </c>
      <c r="D86" t="s">
        <v>122</v>
      </c>
      <c r="E86" s="4">
        <v>45163</v>
      </c>
      <c r="F86">
        <v>0</v>
      </c>
      <c r="G86">
        <v>59.646000000000001</v>
      </c>
      <c r="H86">
        <v>23960.74</v>
      </c>
      <c r="I86">
        <v>0</v>
      </c>
      <c r="J86" t="s">
        <v>200</v>
      </c>
      <c r="K86" s="4" t="str" cm="1">
        <f t="array" ref="K86">_xlfn.XLOOKUP(
  1,
  ('Mutual Fund Transaction'!G:G='Mutual Fund Dividend'!D60) *
  ('Mutual Fund Transaction'!L:L='Mutual Fund Dividend'!H60),
  'Mutual Fund Transaction'!C:C,
  ""
)</f>
        <v/>
      </c>
    </row>
    <row r="87" spans="1:11">
      <c r="A87" s="2" t="s">
        <v>14</v>
      </c>
      <c r="B87" s="3" t="s">
        <v>15</v>
      </c>
      <c r="C87" t="s">
        <v>106</v>
      </c>
      <c r="D87" t="s">
        <v>107</v>
      </c>
      <c r="E87" s="4">
        <v>45164</v>
      </c>
      <c r="F87">
        <v>0</v>
      </c>
      <c r="G87">
        <v>32.222999999999999</v>
      </c>
      <c r="H87">
        <v>2056.35</v>
      </c>
      <c r="I87">
        <v>63.813000000000002</v>
      </c>
      <c r="J87" t="s">
        <v>201</v>
      </c>
      <c r="K87" s="4" t="str" cm="1">
        <f t="array" ref="K87">_xlfn.XLOOKUP(
  1,
  ('Mutual Fund Transaction'!G:G='Mutual Fund Dividend'!D102) *
  ('Mutual Fund Transaction'!L:L='Mutual Fund Dividend'!H102) *
  ('Mutual Fund Transaction'!N:N='Mutual Fund Dividend'!I102),
  'Mutual Fund Transaction'!C:C,
  ""
)</f>
        <v/>
      </c>
    </row>
    <row r="88" spans="1:11">
      <c r="A88" s="2" t="s">
        <v>14</v>
      </c>
      <c r="B88" s="3" t="s">
        <v>15</v>
      </c>
      <c r="C88" t="s">
        <v>110</v>
      </c>
      <c r="D88" t="s">
        <v>120</v>
      </c>
      <c r="E88" s="4">
        <v>45174</v>
      </c>
      <c r="F88">
        <v>0</v>
      </c>
      <c r="G88">
        <v>27.7423</v>
      </c>
      <c r="H88">
        <v>1265.03</v>
      </c>
      <c r="I88">
        <v>0</v>
      </c>
      <c r="J88" t="s">
        <v>200</v>
      </c>
      <c r="K88" s="4" cm="1">
        <f t="array" ref="K88">_xlfn.XLOOKUP(
  1,
  ('Mutual Fund Transaction'!G:G='Mutual Fund Dividend'!D58) *
  ('Mutual Fund Transaction'!L:L='Mutual Fund Dividend'!H58),
  'Mutual Fund Transaction'!C:C,
  ""
)</f>
        <v>44768</v>
      </c>
    </row>
    <row r="89" spans="1:11">
      <c r="A89" s="2" t="s">
        <v>14</v>
      </c>
      <c r="B89" s="3" t="s">
        <v>15</v>
      </c>
      <c r="C89" t="s">
        <v>106</v>
      </c>
      <c r="D89" t="s">
        <v>107</v>
      </c>
      <c r="E89" s="4">
        <v>45195</v>
      </c>
      <c r="F89">
        <v>0</v>
      </c>
      <c r="G89">
        <v>33.018000000000001</v>
      </c>
      <c r="H89">
        <v>2101.58</v>
      </c>
      <c r="I89">
        <v>63.646000000000001</v>
      </c>
      <c r="J89" t="s">
        <v>201</v>
      </c>
      <c r="K89" s="4" cm="1">
        <f t="array" ref="K89">_xlfn.XLOOKUP(
  1,
  ('Mutual Fund Transaction'!G:G='Mutual Fund Dividend'!D101) *
  ('Mutual Fund Transaction'!L:L='Mutual Fund Dividend'!H101) *
  ('Mutual Fund Transaction'!N:N='Mutual Fund Dividend'!I101),
  'Mutual Fund Transaction'!C:C,
  ""
)</f>
        <v>45378</v>
      </c>
    </row>
    <row r="90" spans="1:11">
      <c r="A90" s="2" t="s">
        <v>14</v>
      </c>
      <c r="B90" s="3" t="s">
        <v>15</v>
      </c>
      <c r="C90" t="s">
        <v>110</v>
      </c>
      <c r="D90" t="s">
        <v>120</v>
      </c>
      <c r="E90" s="4">
        <v>45204</v>
      </c>
      <c r="F90">
        <v>0</v>
      </c>
      <c r="G90">
        <v>27.373899999999999</v>
      </c>
      <c r="H90">
        <v>1291</v>
      </c>
      <c r="I90">
        <v>0</v>
      </c>
      <c r="J90" t="s">
        <v>200</v>
      </c>
      <c r="K90" s="4" cm="1">
        <f t="array" ref="K90">_xlfn.XLOOKUP(
  1,
  ('Mutual Fund Transaction'!G:G='Mutual Fund Dividend'!D56) *
  ('Mutual Fund Transaction'!L:L='Mutual Fund Dividend'!H56),
  'Mutual Fund Transaction'!C:C,
  ""
)</f>
        <v>44740</v>
      </c>
    </row>
    <row r="91" spans="1:11">
      <c r="A91" s="2" t="s">
        <v>14</v>
      </c>
      <c r="B91" s="3" t="s">
        <v>15</v>
      </c>
      <c r="C91" t="s">
        <v>106</v>
      </c>
      <c r="D91" t="s">
        <v>107</v>
      </c>
      <c r="E91" s="4">
        <v>45225</v>
      </c>
      <c r="F91">
        <v>0</v>
      </c>
      <c r="G91">
        <v>32.363999999999997</v>
      </c>
      <c r="H91">
        <v>2145.77</v>
      </c>
      <c r="I91">
        <v>66.298000000000002</v>
      </c>
      <c r="J91" t="s">
        <v>201</v>
      </c>
      <c r="K91" s="4" t="str" cm="1">
        <f t="array" ref="K91">_xlfn.XLOOKUP(
  1,
  ('Mutual Fund Transaction'!G:G='Mutual Fund Dividend'!D100) *
  ('Mutual Fund Transaction'!L:L='Mutual Fund Dividend'!H100) *
  ('Mutual Fund Transaction'!N:N='Mutual Fund Dividend'!I100),
  'Mutual Fund Transaction'!C:C,
  ""
)</f>
        <v/>
      </c>
    </row>
    <row r="92" spans="1:11">
      <c r="A92" s="2" t="s">
        <v>14</v>
      </c>
      <c r="B92" s="3" t="s">
        <v>15</v>
      </c>
      <c r="C92" t="s">
        <v>110</v>
      </c>
      <c r="D92" t="s">
        <v>120</v>
      </c>
      <c r="E92" s="4">
        <v>45232</v>
      </c>
      <c r="F92">
        <v>0</v>
      </c>
      <c r="G92">
        <v>27.442599999999999</v>
      </c>
      <c r="H92">
        <v>1318.24</v>
      </c>
      <c r="I92">
        <v>0</v>
      </c>
      <c r="J92" t="s">
        <v>200</v>
      </c>
      <c r="K92" s="4" cm="1">
        <f t="array" ref="K92">_xlfn.XLOOKUP(
  1,
  ('Mutual Fund Transaction'!G:G='Mutual Fund Dividend'!D54) *
  ('Mutual Fund Transaction'!L:L='Mutual Fund Dividend'!H54),
  'Mutual Fund Transaction'!C:C,
  ""
)</f>
        <v>44707</v>
      </c>
    </row>
    <row r="93" spans="1:11">
      <c r="A93" s="2" t="s">
        <v>14</v>
      </c>
      <c r="B93" s="3" t="s">
        <v>15</v>
      </c>
      <c r="C93" t="s">
        <v>106</v>
      </c>
      <c r="D93" t="s">
        <v>107</v>
      </c>
      <c r="E93" s="4">
        <v>45259</v>
      </c>
      <c r="F93">
        <v>0</v>
      </c>
      <c r="G93">
        <v>33.945</v>
      </c>
      <c r="H93">
        <v>2221.02</v>
      </c>
      <c r="I93">
        <v>65.427000000000007</v>
      </c>
      <c r="J93" t="s">
        <v>201</v>
      </c>
      <c r="K93" s="4" cm="1">
        <f t="array" ref="K93">_xlfn.XLOOKUP(
  1,
  ('Mutual Fund Transaction'!G:G='Mutual Fund Dividend'!D99) *
  ('Mutual Fund Transaction'!L:L='Mutual Fund Dividend'!H99) *
  ('Mutual Fund Transaction'!N:N='Mutual Fund Dividend'!I99),
  'Mutual Fund Transaction'!C:C,
  ""
)</f>
        <v>45349</v>
      </c>
    </row>
    <row r="94" spans="1:11">
      <c r="A94" s="2" t="s">
        <v>14</v>
      </c>
      <c r="B94" s="3" t="s">
        <v>15</v>
      </c>
      <c r="C94" t="s">
        <v>110</v>
      </c>
      <c r="D94" t="s">
        <v>120</v>
      </c>
      <c r="E94" s="4">
        <v>45265</v>
      </c>
      <c r="F94">
        <v>0</v>
      </c>
      <c r="G94">
        <v>29.091000000000001</v>
      </c>
      <c r="H94">
        <v>1343.67</v>
      </c>
      <c r="I94">
        <v>0</v>
      </c>
      <c r="J94" t="s">
        <v>200</v>
      </c>
      <c r="K94" s="4" cm="1">
        <f t="array" ref="K94">_xlfn.XLOOKUP(
  1,
  ('Mutual Fund Transaction'!G:G='Mutual Fund Dividend'!D52) *
  ('Mutual Fund Transaction'!L:L='Mutual Fund Dividend'!H52),
  'Mutual Fund Transaction'!C:C,
  ""
)</f>
        <v>44677</v>
      </c>
    </row>
    <row r="95" spans="1:11">
      <c r="A95" s="2" t="s">
        <v>14</v>
      </c>
      <c r="B95" s="3" t="s">
        <v>15</v>
      </c>
      <c r="C95" t="s">
        <v>106</v>
      </c>
      <c r="D95" t="s">
        <v>107</v>
      </c>
      <c r="E95" s="4">
        <v>45287</v>
      </c>
      <c r="F95">
        <v>0</v>
      </c>
      <c r="G95">
        <v>35.997</v>
      </c>
      <c r="H95">
        <v>2428.9899999999998</v>
      </c>
      <c r="I95">
        <v>67.474000000000004</v>
      </c>
      <c r="J95" t="s">
        <v>201</v>
      </c>
      <c r="K95" s="4" t="str" cm="1">
        <f t="array" ref="K95">_xlfn.XLOOKUP(
  1,
  ('Mutual Fund Transaction'!G:G='Mutual Fund Dividend'!D98) *
  ('Mutual Fund Transaction'!L:L='Mutual Fund Dividend'!H98) *
  ('Mutual Fund Transaction'!N:N='Mutual Fund Dividend'!I98),
  'Mutual Fund Transaction'!C:C,
  ""
)</f>
        <v/>
      </c>
    </row>
    <row r="96" spans="1:11">
      <c r="A96" s="2" t="s">
        <v>14</v>
      </c>
      <c r="B96" s="3" t="s">
        <v>15</v>
      </c>
      <c r="C96" t="s">
        <v>110</v>
      </c>
      <c r="D96" t="s">
        <v>120</v>
      </c>
      <c r="E96" s="4">
        <v>45293</v>
      </c>
      <c r="F96">
        <v>0</v>
      </c>
      <c r="G96">
        <v>29.564299999999999</v>
      </c>
      <c r="H96">
        <v>1367.94</v>
      </c>
      <c r="I96">
        <v>0</v>
      </c>
      <c r="J96" t="s">
        <v>200</v>
      </c>
      <c r="K96" s="4" cm="1">
        <f t="array" ref="K96">_xlfn.XLOOKUP(
  1,
  ('Mutual Fund Transaction'!G:G='Mutual Fund Dividend'!D50) *
  ('Mutual Fund Transaction'!L:L='Mutual Fund Dividend'!H50),
  'Mutual Fund Transaction'!C:C,
  ""
)</f>
        <v>44646</v>
      </c>
    </row>
    <row r="97" spans="1:11">
      <c r="A97" s="2" t="s">
        <v>14</v>
      </c>
      <c r="B97" s="3" t="s">
        <v>15</v>
      </c>
      <c r="C97" t="s">
        <v>106</v>
      </c>
      <c r="D97" t="s">
        <v>107</v>
      </c>
      <c r="E97" s="4">
        <v>45317</v>
      </c>
      <c r="F97">
        <v>0</v>
      </c>
      <c r="G97">
        <v>36.756</v>
      </c>
      <c r="H97">
        <v>2475.3000000000002</v>
      </c>
      <c r="I97">
        <v>67.340999999999994</v>
      </c>
      <c r="J97" t="s">
        <v>201</v>
      </c>
      <c r="K97" s="4" cm="1">
        <f t="array" ref="K97">_xlfn.XLOOKUP(
  1,
  ('Mutual Fund Transaction'!G:G='Mutual Fund Dividend'!D97) *
  ('Mutual Fund Transaction'!L:L='Mutual Fund Dividend'!H97) *
  ('Mutual Fund Transaction'!N:N='Mutual Fund Dividend'!I97),
  'Mutual Fund Transaction'!C:C,
  ""
)</f>
        <v>45317</v>
      </c>
    </row>
    <row r="98" spans="1:11">
      <c r="A98" s="2" t="s">
        <v>14</v>
      </c>
      <c r="B98" s="3" t="s">
        <v>15</v>
      </c>
      <c r="C98" t="s">
        <v>110</v>
      </c>
      <c r="D98" t="s">
        <v>120</v>
      </c>
      <c r="E98" s="4">
        <v>45327</v>
      </c>
      <c r="F98">
        <v>0</v>
      </c>
      <c r="G98">
        <v>30.1235</v>
      </c>
      <c r="H98">
        <v>1391.92</v>
      </c>
      <c r="I98">
        <v>0</v>
      </c>
      <c r="J98" t="s">
        <v>200</v>
      </c>
      <c r="K98" s="4" cm="1">
        <f t="array" ref="K98">_xlfn.XLOOKUP(
  1,
  ('Mutual Fund Transaction'!G:G='Mutual Fund Dividend'!D48) *
  ('Mutual Fund Transaction'!L:L='Mutual Fund Dividend'!H48),
  'Mutual Fund Transaction'!C:C,
  ""
)</f>
        <v>44618</v>
      </c>
    </row>
    <row r="99" spans="1:11">
      <c r="A99" s="2" t="s">
        <v>14</v>
      </c>
      <c r="B99" s="3" t="s">
        <v>15</v>
      </c>
      <c r="C99" t="s">
        <v>106</v>
      </c>
      <c r="D99" t="s">
        <v>107</v>
      </c>
      <c r="E99" s="4">
        <v>45349</v>
      </c>
      <c r="F99">
        <v>0</v>
      </c>
      <c r="G99">
        <v>37.872999999999998</v>
      </c>
      <c r="H99">
        <v>2520.65</v>
      </c>
      <c r="I99">
        <v>66.552000000000007</v>
      </c>
      <c r="J99" t="s">
        <v>201</v>
      </c>
      <c r="K99" s="4" t="str" cm="1">
        <f t="array" ref="K99">_xlfn.XLOOKUP(
  1,
  ('Mutual Fund Transaction'!G:G='Mutual Fund Dividend'!D96) *
  ('Mutual Fund Transaction'!L:L='Mutual Fund Dividend'!H96) *
  ('Mutual Fund Transaction'!N:N='Mutual Fund Dividend'!I96),
  'Mutual Fund Transaction'!C:C,
  ""
)</f>
        <v/>
      </c>
    </row>
    <row r="100" spans="1:11">
      <c r="A100" s="2" t="s">
        <v>14</v>
      </c>
      <c r="B100" s="3" t="s">
        <v>15</v>
      </c>
      <c r="C100" t="s">
        <v>110</v>
      </c>
      <c r="D100" t="s">
        <v>120</v>
      </c>
      <c r="E100" s="4">
        <v>45356</v>
      </c>
      <c r="F100">
        <v>0</v>
      </c>
      <c r="G100">
        <v>30.911300000000001</v>
      </c>
      <c r="H100">
        <v>1416.2</v>
      </c>
      <c r="I100">
        <v>0</v>
      </c>
      <c r="J100" t="s">
        <v>200</v>
      </c>
      <c r="K100" s="4" t="str" cm="1">
        <f t="array" ref="K100">_xlfn.XLOOKUP(
  1,
  ('Mutual Fund Transaction'!G:G='Mutual Fund Dividend'!D46) *
  ('Mutual Fund Transaction'!L:L='Mutual Fund Dividend'!H46),
  'Mutual Fund Transaction'!C:C,
  ""
)</f>
        <v/>
      </c>
    </row>
    <row r="101" spans="1:11">
      <c r="A101" s="2" t="s">
        <v>14</v>
      </c>
      <c r="B101" s="3" t="s">
        <v>15</v>
      </c>
      <c r="C101" t="s">
        <v>106</v>
      </c>
      <c r="D101" t="s">
        <v>107</v>
      </c>
      <c r="E101" s="4">
        <v>45378</v>
      </c>
      <c r="F101">
        <v>0</v>
      </c>
      <c r="G101">
        <v>37.287999999999997</v>
      </c>
      <c r="H101">
        <v>2565.61</v>
      </c>
      <c r="I101">
        <v>68.802000000000007</v>
      </c>
      <c r="J101" t="s">
        <v>201</v>
      </c>
      <c r="K101" s="4" cm="1">
        <f t="array" ref="K101">_xlfn.XLOOKUP(
  1,
  ('Mutual Fund Transaction'!G:G='Mutual Fund Dividend'!D95) *
  ('Mutual Fund Transaction'!L:L='Mutual Fund Dividend'!H95) *
  ('Mutual Fund Transaction'!N:N='Mutual Fund Dividend'!I95),
  'Mutual Fund Transaction'!C:C,
  ""
)</f>
        <v>45287</v>
      </c>
    </row>
    <row r="102" spans="1:11">
      <c r="A102" s="2" t="s">
        <v>14</v>
      </c>
      <c r="B102" s="3" t="s">
        <v>15</v>
      </c>
      <c r="C102" t="s">
        <v>110</v>
      </c>
      <c r="D102" t="s">
        <v>120</v>
      </c>
      <c r="E102" s="4">
        <v>45386</v>
      </c>
      <c r="F102">
        <v>0</v>
      </c>
      <c r="G102">
        <v>31.4619</v>
      </c>
      <c r="H102">
        <v>1599.21</v>
      </c>
      <c r="I102">
        <v>0</v>
      </c>
      <c r="J102" t="s">
        <v>200</v>
      </c>
      <c r="K102" s="4" t="str" cm="1">
        <f t="array" ref="K102">_xlfn.XLOOKUP(
  1,
  ('Mutual Fund Transaction'!G:G='Mutual Fund Dividend'!D44) *
  ('Mutual Fund Transaction'!L:L='Mutual Fund Dividend'!H44),
  'Mutual Fund Transaction'!C:C,
  ""
)</f>
        <v/>
      </c>
    </row>
    <row r="103" spans="1:11">
      <c r="A103" s="2" t="s">
        <v>14</v>
      </c>
      <c r="B103" s="3" t="s">
        <v>15</v>
      </c>
      <c r="C103" t="s">
        <v>106</v>
      </c>
      <c r="D103" t="s">
        <v>107</v>
      </c>
      <c r="E103" s="4">
        <v>45408</v>
      </c>
      <c r="F103">
        <v>0</v>
      </c>
      <c r="G103">
        <v>38.381999999999998</v>
      </c>
      <c r="H103">
        <v>2901.11</v>
      </c>
      <c r="I103">
        <v>75.581000000000003</v>
      </c>
      <c r="J103" t="s">
        <v>201</v>
      </c>
      <c r="K103" s="4" t="str" cm="1">
        <f t="array" ref="K103">_xlfn.XLOOKUP(
  1,
  ('Mutual Fund Transaction'!G:G='Mutual Fund Dividend'!D94) *
  ('Mutual Fund Transaction'!L:L='Mutual Fund Dividend'!H94) *
  ('Mutual Fund Transaction'!N:N='Mutual Fund Dividend'!I94),
  'Mutual Fund Transaction'!C:C,
  ""
)</f>
        <v/>
      </c>
    </row>
    <row r="104" spans="1:11">
      <c r="A104" s="2" t="s">
        <v>14</v>
      </c>
      <c r="B104" s="3" t="s">
        <v>15</v>
      </c>
      <c r="C104" t="s">
        <v>110</v>
      </c>
      <c r="D104" t="s">
        <v>120</v>
      </c>
      <c r="E104" s="4">
        <v>45419</v>
      </c>
      <c r="F104">
        <v>0</v>
      </c>
      <c r="G104">
        <v>31.605899999999998</v>
      </c>
      <c r="H104">
        <v>1624.51</v>
      </c>
      <c r="I104">
        <v>0</v>
      </c>
      <c r="J104" t="s">
        <v>200</v>
      </c>
      <c r="K104" s="4" t="str" cm="1">
        <f t="array" ref="K104">_xlfn.XLOOKUP(
  1,
  ('Mutual Fund Transaction'!G:G='Mutual Fund Dividend'!D42) *
  ('Mutual Fund Transaction'!L:L='Mutual Fund Dividend'!H42),
  'Mutual Fund Transaction'!C:C,
  ""
)</f>
        <v/>
      </c>
    </row>
    <row r="105" spans="1:11">
      <c r="A105" s="2" t="s">
        <v>14</v>
      </c>
      <c r="B105" s="3" t="s">
        <v>15</v>
      </c>
      <c r="C105" t="s">
        <v>106</v>
      </c>
      <c r="D105" t="s">
        <v>107</v>
      </c>
      <c r="E105" s="4">
        <v>45440</v>
      </c>
      <c r="F105">
        <v>0</v>
      </c>
      <c r="G105">
        <v>39.579000000000001</v>
      </c>
      <c r="H105">
        <v>2367.42</v>
      </c>
      <c r="I105">
        <v>59.811999999999998</v>
      </c>
      <c r="J105" t="s">
        <v>201</v>
      </c>
      <c r="K105" s="4" cm="1">
        <f t="array" ref="K105">_xlfn.XLOOKUP(
  1,
  ('Mutual Fund Transaction'!G:G='Mutual Fund Dividend'!D93) *
  ('Mutual Fund Transaction'!L:L='Mutual Fund Dividend'!H93) *
  ('Mutual Fund Transaction'!N:N='Mutual Fund Dividend'!I93),
  'Mutual Fund Transaction'!C:C,
  ""
)</f>
        <v>45259</v>
      </c>
    </row>
    <row r="106" spans="1:11">
      <c r="A106" s="2" t="s">
        <v>14</v>
      </c>
      <c r="B106" s="3" t="s">
        <v>15</v>
      </c>
      <c r="C106" t="s">
        <v>110</v>
      </c>
      <c r="D106" t="s">
        <v>120</v>
      </c>
      <c r="E106" s="4">
        <v>45447</v>
      </c>
      <c r="F106">
        <v>0</v>
      </c>
      <c r="G106">
        <v>31.2575</v>
      </c>
      <c r="H106">
        <v>1162.3800000000001</v>
      </c>
      <c r="I106">
        <v>0</v>
      </c>
      <c r="J106" t="s">
        <v>200</v>
      </c>
      <c r="K106" s="4" t="str" cm="1">
        <f t="array" ref="K106">_xlfn.XLOOKUP(
  1,
  ('Mutual Fund Transaction'!G:G='Mutual Fund Dividend'!D40) *
  ('Mutual Fund Transaction'!L:L='Mutual Fund Dividend'!H40),
  'Mutual Fund Transaction'!C:C,
  ""
)</f>
        <v/>
      </c>
    </row>
    <row r="107" spans="1:11">
      <c r="A107" s="2" t="s">
        <v>14</v>
      </c>
      <c r="B107" s="3" t="s">
        <v>15</v>
      </c>
      <c r="C107" t="s">
        <v>106</v>
      </c>
      <c r="D107" t="s">
        <v>107</v>
      </c>
      <c r="E107" s="4">
        <v>45469</v>
      </c>
      <c r="F107">
        <v>0</v>
      </c>
      <c r="G107">
        <v>40.042999999999999</v>
      </c>
      <c r="H107">
        <v>2699.08</v>
      </c>
      <c r="I107">
        <v>67.400999999999996</v>
      </c>
      <c r="J107" t="s">
        <v>201</v>
      </c>
      <c r="K107" s="4" t="str" cm="1">
        <f t="array" ref="K107">_xlfn.XLOOKUP(
  1,
  ('Mutual Fund Transaction'!G:G='Mutual Fund Dividend'!D92) *
  ('Mutual Fund Transaction'!L:L='Mutual Fund Dividend'!H92) *
  ('Mutual Fund Transaction'!N:N='Mutual Fund Dividend'!I92),
  'Mutual Fund Transaction'!C:C,
  ""
)</f>
        <v/>
      </c>
    </row>
    <row r="108" spans="1:11">
      <c r="A108" s="2" t="s">
        <v>14</v>
      </c>
      <c r="B108" s="3" t="s">
        <v>15</v>
      </c>
      <c r="C108" t="s">
        <v>110</v>
      </c>
      <c r="D108" t="s">
        <v>120</v>
      </c>
      <c r="E108" s="4">
        <v>45477</v>
      </c>
      <c r="F108">
        <v>0</v>
      </c>
      <c r="G108">
        <v>33.007800000000003</v>
      </c>
      <c r="H108">
        <v>1506.98</v>
      </c>
      <c r="I108">
        <v>0</v>
      </c>
      <c r="J108" t="s">
        <v>200</v>
      </c>
      <c r="K108" s="4" t="str" cm="1">
        <f t="array" ref="K108">_xlfn.XLOOKUP(
  1,
  ('Mutual Fund Transaction'!G:G='Mutual Fund Dividend'!D38) *
  ('Mutual Fund Transaction'!L:L='Mutual Fund Dividend'!H38),
  'Mutual Fund Transaction'!C:C,
  ""
)</f>
        <v/>
      </c>
    </row>
    <row r="109" spans="1:11">
      <c r="A109" s="2" t="s">
        <v>14</v>
      </c>
      <c r="B109" s="3" t="s">
        <v>15</v>
      </c>
      <c r="C109" t="s">
        <v>106</v>
      </c>
      <c r="D109" t="s">
        <v>107</v>
      </c>
      <c r="E109" s="4">
        <v>45499</v>
      </c>
      <c r="F109">
        <v>0</v>
      </c>
      <c r="G109">
        <v>40.773000000000003</v>
      </c>
      <c r="H109">
        <v>2741.97</v>
      </c>
      <c r="I109">
        <v>67.245999999999995</v>
      </c>
      <c r="J109" t="s">
        <v>201</v>
      </c>
      <c r="K109" s="4" cm="1">
        <f t="array" ref="K109">_xlfn.XLOOKUP(
  1,
  ('Mutual Fund Transaction'!G:G='Mutual Fund Dividend'!D91) *
  ('Mutual Fund Transaction'!L:L='Mutual Fund Dividend'!H91) *
  ('Mutual Fund Transaction'!N:N='Mutual Fund Dividend'!I91),
  'Mutual Fund Transaction'!C:C,
  ""
)</f>
        <v>45225</v>
      </c>
    </row>
    <row r="110" spans="1:11">
      <c r="A110" s="2" t="s">
        <v>14</v>
      </c>
      <c r="B110" s="3" t="s">
        <v>15</v>
      </c>
      <c r="C110" t="s">
        <v>110</v>
      </c>
      <c r="D110" t="s">
        <v>120</v>
      </c>
      <c r="E110" s="4">
        <v>45505</v>
      </c>
      <c r="F110">
        <v>0</v>
      </c>
      <c r="G110">
        <v>33.530099999999997</v>
      </c>
      <c r="H110">
        <v>1528.18</v>
      </c>
      <c r="I110">
        <v>0</v>
      </c>
      <c r="J110" t="s">
        <v>200</v>
      </c>
      <c r="K110" s="4" t="str" cm="1">
        <f t="array" ref="K110">_xlfn.XLOOKUP(
  1,
  ('Mutual Fund Transaction'!G:G='Mutual Fund Dividend'!D36) *
  ('Mutual Fund Transaction'!L:L='Mutual Fund Dividend'!H36),
  'Mutual Fund Transaction'!C:C,
  ""
)</f>
        <v/>
      </c>
    </row>
    <row r="111" spans="1:11">
      <c r="A111" s="2" t="s">
        <v>14</v>
      </c>
      <c r="B111" s="3" t="s">
        <v>15</v>
      </c>
      <c r="C111" t="s">
        <v>114</v>
      </c>
      <c r="D111" t="s">
        <v>122</v>
      </c>
      <c r="E111" s="4">
        <v>45530</v>
      </c>
      <c r="F111">
        <v>0</v>
      </c>
      <c r="G111">
        <v>87.533600000000007</v>
      </c>
      <c r="H111">
        <v>35941.1</v>
      </c>
      <c r="I111">
        <v>0</v>
      </c>
      <c r="J111" t="s">
        <v>200</v>
      </c>
      <c r="K111" s="4" cm="1">
        <f t="array" ref="K111">_xlfn.XLOOKUP(
  1,
  ('Mutual Fund Transaction'!G:G='Mutual Fund Dividend'!D35) *
  ('Mutual Fund Transaction'!L:L='Mutual Fund Dividend'!H35),
  'Mutual Fund Transaction'!C:C,
  ""
)</f>
        <v>44434</v>
      </c>
    </row>
    <row r="112" spans="1:11">
      <c r="A112" s="2" t="s">
        <v>14</v>
      </c>
      <c r="B112" s="3" t="s">
        <v>15</v>
      </c>
      <c r="C112" t="s">
        <v>106</v>
      </c>
      <c r="D112" t="s">
        <v>107</v>
      </c>
      <c r="E112" s="4">
        <v>45531</v>
      </c>
      <c r="F112">
        <v>0</v>
      </c>
      <c r="G112">
        <v>41.13</v>
      </c>
      <c r="H112">
        <v>2785.05</v>
      </c>
      <c r="I112">
        <v>67.709999999999994</v>
      </c>
      <c r="J112" t="s">
        <v>201</v>
      </c>
      <c r="K112" s="4" t="str" cm="1">
        <f t="array" ref="K112">_xlfn.XLOOKUP(
  1,
  ('Mutual Fund Transaction'!G:G='Mutual Fund Dividend'!D90) *
  ('Mutual Fund Transaction'!L:L='Mutual Fund Dividend'!H90) *
  ('Mutual Fund Transaction'!N:N='Mutual Fund Dividend'!I90),
  'Mutual Fund Transaction'!C:C,
  ""
)</f>
        <v/>
      </c>
    </row>
    <row r="113" spans="1:11">
      <c r="A113" s="2" t="s">
        <v>14</v>
      </c>
      <c r="B113" s="3" t="s">
        <v>15</v>
      </c>
      <c r="C113" t="s">
        <v>110</v>
      </c>
      <c r="D113" t="s">
        <v>120</v>
      </c>
      <c r="E113" s="4">
        <v>45538</v>
      </c>
      <c r="F113">
        <v>0</v>
      </c>
      <c r="G113">
        <v>33.821800000000003</v>
      </c>
      <c r="H113">
        <v>1550.01</v>
      </c>
      <c r="I113">
        <v>0</v>
      </c>
      <c r="J113" t="s">
        <v>200</v>
      </c>
      <c r="K113" s="4" t="str" cm="1">
        <f t="array" ref="K113">_xlfn.XLOOKUP(
  1,
  ('Mutual Fund Transaction'!G:G='Mutual Fund Dividend'!D33) *
  ('Mutual Fund Transaction'!L:L='Mutual Fund Dividend'!H33),
  'Mutual Fund Transaction'!C:C,
  ""
)</f>
        <v/>
      </c>
    </row>
    <row r="114" spans="1:11">
      <c r="A114" s="2" t="s">
        <v>14</v>
      </c>
      <c r="B114" s="3" t="s">
        <v>15</v>
      </c>
      <c r="C114" t="s">
        <v>106</v>
      </c>
      <c r="D114" t="s">
        <v>107</v>
      </c>
      <c r="E114" s="4">
        <v>45561</v>
      </c>
      <c r="F114">
        <v>0</v>
      </c>
      <c r="G114">
        <v>41.31</v>
      </c>
      <c r="H114">
        <v>2827.3</v>
      </c>
      <c r="I114">
        <v>68.438000000000002</v>
      </c>
      <c r="J114" t="s">
        <v>201</v>
      </c>
      <c r="K114" s="4" cm="1">
        <f t="array" ref="K114">_xlfn.XLOOKUP(
  1,
  ('Mutual Fund Transaction'!G:G='Mutual Fund Dividend'!D89) *
  ('Mutual Fund Transaction'!L:L='Mutual Fund Dividend'!H89) *
  ('Mutual Fund Transaction'!N:N='Mutual Fund Dividend'!I89),
  'Mutual Fund Transaction'!C:C,
  ""
)</f>
        <v>45195</v>
      </c>
    </row>
    <row r="115" spans="1:11">
      <c r="A115" s="2" t="s">
        <v>14</v>
      </c>
      <c r="B115" s="3" t="s">
        <v>15</v>
      </c>
      <c r="C115" t="s">
        <v>110</v>
      </c>
      <c r="D115" t="s">
        <v>120</v>
      </c>
      <c r="E115" s="4">
        <v>45569</v>
      </c>
      <c r="F115">
        <v>0</v>
      </c>
      <c r="G115">
        <v>34.002600000000001</v>
      </c>
      <c r="H115">
        <v>1570.3</v>
      </c>
      <c r="I115">
        <v>0</v>
      </c>
      <c r="J115" t="s">
        <v>200</v>
      </c>
      <c r="K115" s="4" t="str" cm="1">
        <f t="array" ref="K115">_xlfn.XLOOKUP(
  1,
  ('Mutual Fund Transaction'!G:G='Mutual Fund Dividend'!D31) *
  ('Mutual Fund Transaction'!L:L='Mutual Fund Dividend'!H31),
  'Mutual Fund Transaction'!C:C,
  ""
)</f>
        <v/>
      </c>
    </row>
    <row r="116" spans="1:11">
      <c r="A116" s="2" t="s">
        <v>14</v>
      </c>
      <c r="B116" s="3" t="s">
        <v>15</v>
      </c>
      <c r="C116" t="s">
        <v>106</v>
      </c>
      <c r="D116" t="s">
        <v>107</v>
      </c>
      <c r="E116" s="4">
        <v>45591</v>
      </c>
      <c r="F116">
        <v>0</v>
      </c>
      <c r="G116">
        <v>39.661000000000001</v>
      </c>
      <c r="H116">
        <v>2869.72</v>
      </c>
      <c r="I116">
        <v>72.352999999999994</v>
      </c>
      <c r="J116" t="s">
        <v>201</v>
      </c>
      <c r="K116" s="4" t="str" cm="1">
        <f t="array" ref="K116">_xlfn.XLOOKUP(
  1,
  ('Mutual Fund Transaction'!G:G='Mutual Fund Dividend'!D88) *
  ('Mutual Fund Transaction'!L:L='Mutual Fund Dividend'!H88) *
  ('Mutual Fund Transaction'!N:N='Mutual Fund Dividend'!I88),
  'Mutual Fund Transaction'!C:C,
  ""
)</f>
        <v/>
      </c>
    </row>
    <row r="117" spans="1:11">
      <c r="A117" s="2" t="s">
        <v>14</v>
      </c>
      <c r="B117" s="3" t="s">
        <v>15</v>
      </c>
      <c r="C117" t="s">
        <v>110</v>
      </c>
      <c r="D117" t="s">
        <v>120</v>
      </c>
      <c r="E117" s="4">
        <v>45601</v>
      </c>
      <c r="F117">
        <v>0</v>
      </c>
      <c r="G117">
        <v>33.358800000000002</v>
      </c>
      <c r="H117">
        <v>1592.2</v>
      </c>
      <c r="I117">
        <v>0</v>
      </c>
      <c r="J117" t="s">
        <v>200</v>
      </c>
      <c r="K117" s="4" t="str" cm="1">
        <f t="array" ref="K117">_xlfn.XLOOKUP(
  1,
  ('Mutual Fund Transaction'!G:G='Mutual Fund Dividend'!D29) *
  ('Mutual Fund Transaction'!L:L='Mutual Fund Dividend'!H29),
  'Mutual Fund Transaction'!C:C,
  ""
)</f>
        <v/>
      </c>
    </row>
    <row r="118" spans="1:11">
      <c r="A118" s="2" t="s">
        <v>14</v>
      </c>
      <c r="B118" s="3" t="s">
        <v>15</v>
      </c>
      <c r="C118" t="s">
        <v>106</v>
      </c>
      <c r="D118" t="s">
        <v>107</v>
      </c>
      <c r="E118" s="4">
        <v>45622</v>
      </c>
      <c r="F118">
        <v>0</v>
      </c>
      <c r="G118">
        <v>39.564999999999998</v>
      </c>
      <c r="H118">
        <v>2914.23</v>
      </c>
      <c r="I118">
        <v>73.653000000000006</v>
      </c>
      <c r="J118" t="s">
        <v>201</v>
      </c>
      <c r="K118" s="4" cm="1">
        <f t="array" ref="K118">_xlfn.XLOOKUP(
  1,
  ('Mutual Fund Transaction'!G:G='Mutual Fund Dividend'!D87) *
  ('Mutual Fund Transaction'!L:L='Mutual Fund Dividend'!H87) *
  ('Mutual Fund Transaction'!N:N='Mutual Fund Dividend'!I87),
  'Mutual Fund Transaction'!C:C,
  ""
)</f>
        <v>45164</v>
      </c>
    </row>
    <row r="119" spans="1:11">
      <c r="A119" s="2" t="s">
        <v>14</v>
      </c>
      <c r="B119" s="3" t="s">
        <v>15</v>
      </c>
      <c r="C119" t="s">
        <v>110</v>
      </c>
      <c r="D119" t="s">
        <v>120</v>
      </c>
      <c r="E119" s="4">
        <v>45631</v>
      </c>
      <c r="F119">
        <v>0</v>
      </c>
      <c r="G119">
        <v>33.2714</v>
      </c>
      <c r="H119">
        <v>1614.6</v>
      </c>
      <c r="I119">
        <v>0</v>
      </c>
      <c r="J119" t="s">
        <v>200</v>
      </c>
      <c r="K119" s="4" t="str" cm="1">
        <f t="array" ref="K119">_xlfn.XLOOKUP(
  1,
  ('Mutual Fund Transaction'!G:G='Mutual Fund Dividend'!D27) *
  ('Mutual Fund Transaction'!L:L='Mutual Fund Dividend'!H27),
  'Mutual Fund Transaction'!C:C,
  ""
)</f>
        <v/>
      </c>
    </row>
    <row r="120" spans="1:11">
      <c r="A120" s="2" t="s">
        <v>14</v>
      </c>
      <c r="B120" s="3" t="s">
        <v>15</v>
      </c>
      <c r="C120" t="s">
        <v>106</v>
      </c>
      <c r="D120" t="s">
        <v>107</v>
      </c>
      <c r="E120" s="4">
        <v>45653</v>
      </c>
      <c r="F120">
        <v>0</v>
      </c>
      <c r="G120">
        <v>39.28</v>
      </c>
      <c r="H120">
        <v>2959.25</v>
      </c>
      <c r="I120">
        <v>75.334000000000003</v>
      </c>
      <c r="J120" t="s">
        <v>201</v>
      </c>
      <c r="K120" s="4" t="str" cm="1">
        <f t="array" ref="K120">_xlfn.XLOOKUP(
  1,
  ('Mutual Fund Transaction'!G:G='Mutual Fund Dividend'!D86) *
  ('Mutual Fund Transaction'!L:L='Mutual Fund Dividend'!H86) *
  ('Mutual Fund Transaction'!N:N='Mutual Fund Dividend'!I86),
  'Mutual Fund Transaction'!C:C,
  ""
)</f>
        <v/>
      </c>
    </row>
    <row r="121" spans="1:11">
      <c r="A121" s="2" t="s">
        <v>14</v>
      </c>
      <c r="B121" s="3" t="s">
        <v>15</v>
      </c>
      <c r="C121" t="s">
        <v>110</v>
      </c>
      <c r="D121" t="s">
        <v>120</v>
      </c>
      <c r="E121" s="4">
        <v>45659</v>
      </c>
      <c r="F121">
        <v>0</v>
      </c>
      <c r="G121">
        <v>32.826300000000003</v>
      </c>
      <c r="H121">
        <v>1636.27</v>
      </c>
      <c r="I121">
        <v>0</v>
      </c>
      <c r="J121" t="s">
        <v>200</v>
      </c>
      <c r="K121" s="4" t="str" cm="1">
        <f t="array" ref="K121">_xlfn.XLOOKUP(
  1,
  ('Mutual Fund Transaction'!G:G='Mutual Fund Dividend'!D25) *
  ('Mutual Fund Transaction'!L:L='Mutual Fund Dividend'!H25),
  'Mutual Fund Transaction'!C:C,
  ""
)</f>
        <v/>
      </c>
    </row>
    <row r="122" spans="1:11">
      <c r="A122" s="2" t="s">
        <v>14</v>
      </c>
      <c r="B122" s="3" t="s">
        <v>15</v>
      </c>
      <c r="C122" t="s">
        <v>106</v>
      </c>
      <c r="D122" t="s">
        <v>107</v>
      </c>
      <c r="E122" s="4">
        <v>45685</v>
      </c>
      <c r="F122">
        <v>0</v>
      </c>
      <c r="G122">
        <v>37.533000000000001</v>
      </c>
      <c r="H122">
        <v>3005.02</v>
      </c>
      <c r="I122">
        <v>80.058999999999997</v>
      </c>
      <c r="J122" t="s">
        <v>201</v>
      </c>
      <c r="K122" s="4" t="str" cm="1">
        <f t="array" ref="K122">_xlfn.XLOOKUP(
  1,
  ('Mutual Fund Transaction'!G:G='Mutual Fund Dividend'!D85) *
  ('Mutual Fund Transaction'!L:L='Mutual Fund Dividend'!H85) *
  ('Mutual Fund Transaction'!N:N='Mutual Fund Dividend'!I85),
  'Mutual Fund Transaction'!C:C,
  ""
)</f>
        <v/>
      </c>
    </row>
    <row r="123" spans="1:11">
      <c r="A123" s="2" t="s">
        <v>14</v>
      </c>
      <c r="B123" s="3" t="s">
        <v>15</v>
      </c>
      <c r="C123" t="s">
        <v>110</v>
      </c>
      <c r="D123" t="s">
        <v>120</v>
      </c>
      <c r="E123" s="4">
        <v>45694</v>
      </c>
      <c r="F123">
        <v>0</v>
      </c>
      <c r="G123">
        <v>33.090800000000002</v>
      </c>
      <c r="H123">
        <v>1658.94</v>
      </c>
      <c r="I123">
        <v>0</v>
      </c>
      <c r="J123" t="s">
        <v>200</v>
      </c>
      <c r="K123" s="4" t="str" cm="1">
        <f t="array" ref="K123">_xlfn.XLOOKUP(
  1,
  ('Mutual Fund Transaction'!G:G='Mutual Fund Dividend'!D23) *
  ('Mutual Fund Transaction'!L:L='Mutual Fund Dividend'!H23),
  'Mutual Fund Transaction'!C:C,
  ""
)</f>
        <v/>
      </c>
    </row>
    <row r="124" spans="1:11">
      <c r="A124" s="2" t="s">
        <v>14</v>
      </c>
      <c r="B124" s="3" t="s">
        <v>15</v>
      </c>
      <c r="C124" t="s">
        <v>106</v>
      </c>
      <c r="D124" t="s">
        <v>107</v>
      </c>
      <c r="E124" s="4">
        <v>45714</v>
      </c>
      <c r="F124">
        <v>0</v>
      </c>
      <c r="G124">
        <v>36.738</v>
      </c>
      <c r="H124">
        <v>3053.38</v>
      </c>
      <c r="I124">
        <v>83.108000000000004</v>
      </c>
      <c r="J124" t="s">
        <v>201</v>
      </c>
      <c r="K124" s="4" cm="1">
        <f t="array" ref="K124">_xlfn.XLOOKUP(
  1,
  ('Mutual Fund Transaction'!G:G='Mutual Fund Dividend'!D84) *
  ('Mutual Fund Transaction'!L:L='Mutual Fund Dividend'!H84) *
  ('Mutual Fund Transaction'!N:N='Mutual Fund Dividend'!I84),
  'Mutual Fund Transaction'!C:C,
  ""
)</f>
        <v>45133</v>
      </c>
    </row>
    <row r="125" spans="1:11">
      <c r="A125" s="2" t="s">
        <v>14</v>
      </c>
      <c r="B125" s="3" t="s">
        <v>15</v>
      </c>
      <c r="C125" t="s">
        <v>110</v>
      </c>
      <c r="D125" t="s">
        <v>120</v>
      </c>
      <c r="E125" s="4">
        <v>45720</v>
      </c>
      <c r="F125">
        <v>0</v>
      </c>
      <c r="G125">
        <v>31.908300000000001</v>
      </c>
      <c r="H125">
        <v>1680.67</v>
      </c>
      <c r="I125">
        <v>0</v>
      </c>
      <c r="J125" t="s">
        <v>200</v>
      </c>
      <c r="K125" s="4" t="str" cm="1">
        <f t="array" ref="K125">_xlfn.XLOOKUP(
  1,
  ('Mutual Fund Transaction'!G:G='Mutual Fund Dividend'!D21) *
  ('Mutual Fund Transaction'!L:L='Mutual Fund Dividend'!H21),
  'Mutual Fund Transaction'!C:C,
  ""
)</f>
        <v/>
      </c>
    </row>
    <row r="126" spans="1:11">
      <c r="A126" s="2" t="s">
        <v>14</v>
      </c>
      <c r="B126" s="3" t="s">
        <v>15</v>
      </c>
      <c r="C126" t="s">
        <v>106</v>
      </c>
      <c r="D126" t="s">
        <v>107</v>
      </c>
      <c r="E126" s="4">
        <v>45742</v>
      </c>
      <c r="F126">
        <v>0</v>
      </c>
      <c r="G126">
        <v>37.875</v>
      </c>
      <c r="H126">
        <v>3102.61</v>
      </c>
      <c r="I126">
        <v>81.912999999999997</v>
      </c>
      <c r="J126" t="s">
        <v>201</v>
      </c>
      <c r="K126" s="4" t="str" cm="1">
        <f t="array" ref="K126">_xlfn.XLOOKUP(
  1,
  ('Mutual Fund Transaction'!G:G='Mutual Fund Dividend'!D75) *
  ('Mutual Fund Transaction'!L:L='Mutual Fund Dividend'!H75) *
  ('Mutual Fund Transaction'!N:N='Mutual Fund Dividend'!I75),
  'Mutual Fund Transaction'!C:C,
  ""
)</f>
        <v/>
      </c>
    </row>
    <row r="127" spans="1:11">
      <c r="A127" s="2" t="s">
        <v>14</v>
      </c>
      <c r="B127" s="3" t="s">
        <v>15</v>
      </c>
      <c r="C127" t="s">
        <v>110</v>
      </c>
      <c r="D127" t="s">
        <v>120</v>
      </c>
      <c r="E127" s="4">
        <v>45755</v>
      </c>
      <c r="F127">
        <v>0</v>
      </c>
      <c r="G127">
        <v>32.337899999999998</v>
      </c>
      <c r="H127">
        <v>158.91999999999999</v>
      </c>
      <c r="I127">
        <v>0</v>
      </c>
      <c r="J127" t="s">
        <v>200</v>
      </c>
      <c r="K127" s="4" t="str" cm="1">
        <f t="array" ref="K127">_xlfn.XLOOKUP(
  1,
  ('Mutual Fund Transaction'!G:G='Mutual Fund Dividend'!D19) *
  ('Mutual Fund Transaction'!L:L='Mutual Fund Dividend'!H19),
  'Mutual Fund Transaction'!C:C,
  ""
)</f>
        <v/>
      </c>
    </row>
    <row r="128" spans="1:11">
      <c r="A128" s="2" t="s">
        <v>14</v>
      </c>
      <c r="B128" s="3" t="s">
        <v>15</v>
      </c>
      <c r="C128" t="s">
        <v>106</v>
      </c>
      <c r="D128" t="s">
        <v>107</v>
      </c>
      <c r="E128" s="4">
        <v>45773</v>
      </c>
      <c r="F128">
        <v>0</v>
      </c>
      <c r="G128">
        <v>38.18</v>
      </c>
      <c r="H128">
        <v>1472.64</v>
      </c>
      <c r="I128">
        <v>38.569000000000003</v>
      </c>
      <c r="J128" t="s">
        <v>201</v>
      </c>
      <c r="K128" s="4" cm="1">
        <f t="array" ref="K128">_xlfn.XLOOKUP(
  1,
  ('Mutual Fund Transaction'!G:G='Mutual Fund Dividend'!D76) *
  ('Mutual Fund Transaction'!L:L='Mutual Fund Dividend'!H76) *
  ('Mutual Fund Transaction'!N:N='Mutual Fund Dividend'!I76),
  'Mutual Fund Transaction'!C:C,
  ""
)</f>
        <v>45013</v>
      </c>
    </row>
    <row r="129" spans="1:11">
      <c r="A129" s="2" t="s">
        <v>14</v>
      </c>
      <c r="B129" s="3" t="s">
        <v>15</v>
      </c>
      <c r="C129" t="s">
        <v>110</v>
      </c>
      <c r="D129" t="s">
        <v>120</v>
      </c>
      <c r="E129" s="4">
        <v>45785</v>
      </c>
      <c r="F129">
        <v>0</v>
      </c>
      <c r="G129">
        <v>33.560299999999998</v>
      </c>
      <c r="H129">
        <v>182.62</v>
      </c>
      <c r="I129">
        <v>0</v>
      </c>
      <c r="J129" t="s">
        <v>200</v>
      </c>
      <c r="K129" s="4" t="str" cm="1">
        <f t="array" ref="K129">_xlfn.XLOOKUP(
  1,
  ('Mutual Fund Transaction'!G:G='Mutual Fund Dividend'!D17) *
  ('Mutual Fund Transaction'!L:L='Mutual Fund Dividend'!H17),
  'Mutual Fund Transaction'!C:C,
  ""
)</f>
        <v/>
      </c>
    </row>
    <row r="130" spans="1:11">
      <c r="A130" s="2" t="s">
        <v>14</v>
      </c>
      <c r="B130" s="3" t="s">
        <v>15</v>
      </c>
      <c r="C130" t="s">
        <v>106</v>
      </c>
      <c r="D130" t="s">
        <v>107</v>
      </c>
      <c r="E130" s="4">
        <v>45804</v>
      </c>
      <c r="F130">
        <v>0</v>
      </c>
      <c r="G130">
        <v>39.225999999999999</v>
      </c>
      <c r="H130">
        <v>1514.74</v>
      </c>
      <c r="I130">
        <v>38.613999999999997</v>
      </c>
      <c r="J130" t="s">
        <v>201</v>
      </c>
      <c r="K130" s="4" t="str" cm="1">
        <f t="array" ref="K130">_xlfn.XLOOKUP(
  1,
  ('Mutual Fund Transaction'!G:G='Mutual Fund Dividend'!D77) *
  ('Mutual Fund Transaction'!L:L='Mutual Fund Dividend'!H77) *
  ('Mutual Fund Transaction'!N:N='Mutual Fund Dividend'!I77),
  'Mutual Fund Transaction'!C:C,
  ""
)</f>
        <v/>
      </c>
    </row>
    <row r="131" spans="1:11">
      <c r="A131" s="2" t="s">
        <v>14</v>
      </c>
      <c r="B131" s="3" t="s">
        <v>15</v>
      </c>
      <c r="C131" t="s">
        <v>110</v>
      </c>
      <c r="D131" t="s">
        <v>120</v>
      </c>
      <c r="E131" s="4">
        <v>45811</v>
      </c>
      <c r="F131">
        <v>0</v>
      </c>
      <c r="G131">
        <v>33.967300000000002</v>
      </c>
      <c r="H131">
        <v>206.07</v>
      </c>
      <c r="I131">
        <v>0</v>
      </c>
      <c r="J131" t="s">
        <v>200</v>
      </c>
      <c r="K131" s="4" t="str" cm="1">
        <f t="array" ref="K131">_xlfn.XLOOKUP(
  1,
  ('Mutual Fund Transaction'!G:G='Mutual Fund Dividend'!D15) *
  ('Mutual Fund Transaction'!L:L='Mutual Fund Dividend'!H15),
  'Mutual Fund Transaction'!C:C,
  ""
)</f>
        <v/>
      </c>
    </row>
    <row r="132" spans="1:11">
      <c r="A132" s="2" t="s">
        <v>14</v>
      </c>
      <c r="B132" s="3" t="s">
        <v>15</v>
      </c>
      <c r="C132" t="s">
        <v>106</v>
      </c>
      <c r="D132" t="s">
        <v>107</v>
      </c>
      <c r="E132" s="4">
        <v>45834</v>
      </c>
      <c r="F132">
        <v>0</v>
      </c>
      <c r="G132">
        <v>39.298000000000002</v>
      </c>
      <c r="H132">
        <v>1556.33</v>
      </c>
      <c r="I132">
        <v>39.600999999999999</v>
      </c>
      <c r="J132" t="s">
        <v>201</v>
      </c>
      <c r="K132" s="4" cm="1">
        <f t="array" ref="K132">_xlfn.XLOOKUP(
  1,
  ('Mutual Fund Transaction'!G:G='Mutual Fund Dividend'!D78) *
  ('Mutual Fund Transaction'!L:L='Mutual Fund Dividend'!H78) *
  ('Mutual Fund Transaction'!N:N='Mutual Fund Dividend'!I78),
  'Mutual Fund Transaction'!C:C,
  ""
)</f>
        <v>45042</v>
      </c>
    </row>
    <row r="133" spans="1:11">
      <c r="A133" s="2" t="s">
        <v>14</v>
      </c>
      <c r="B133" s="3" t="s">
        <v>15</v>
      </c>
      <c r="C133" t="s">
        <v>110</v>
      </c>
      <c r="D133" t="s">
        <v>120</v>
      </c>
      <c r="E133" s="4">
        <v>45841</v>
      </c>
      <c r="F133">
        <v>0</v>
      </c>
      <c r="G133">
        <v>34.513399999999997</v>
      </c>
      <c r="H133">
        <v>229.45</v>
      </c>
      <c r="I133">
        <v>0</v>
      </c>
      <c r="J133" t="s">
        <v>200</v>
      </c>
      <c r="K133" s="4" cm="1">
        <f t="array" ref="K133">_xlfn.XLOOKUP(
  1,
  ('Mutual Fund Transaction'!G:G='Mutual Fund Dividend'!D13) *
  ('Mutual Fund Transaction'!L:L='Mutual Fund Dividend'!H13),
  'Mutual Fund Transaction'!C:C,
  ""
)</f>
        <v>44131</v>
      </c>
    </row>
    <row r="134" spans="1:11">
      <c r="A134" s="2" t="s">
        <v>14</v>
      </c>
      <c r="B134" s="3" t="s">
        <v>15</v>
      </c>
      <c r="C134" t="s">
        <v>106</v>
      </c>
      <c r="D134" t="s">
        <v>107</v>
      </c>
      <c r="E134" s="4">
        <v>45864</v>
      </c>
      <c r="F134">
        <v>0</v>
      </c>
      <c r="G134">
        <v>38.79</v>
      </c>
      <c r="H134">
        <v>962.3</v>
      </c>
      <c r="I134">
        <v>24.806999999999999</v>
      </c>
      <c r="J134" t="s">
        <v>201</v>
      </c>
      <c r="K134" s="4" t="str" cm="1">
        <f t="array" ref="K134">_xlfn.XLOOKUP(
  1,
  ('Mutual Fund Transaction'!G:G='Mutual Fund Dividend'!D79) *
  ('Mutual Fund Transaction'!L:L='Mutual Fund Dividend'!H79) *
  ('Mutual Fund Transaction'!N:N='Mutual Fund Dividend'!I79),
  'Mutual Fund Transaction'!C:C,
  ""
)</f>
        <v/>
      </c>
    </row>
    <row r="135" spans="1:11">
      <c r="A135" s="2" t="s">
        <v>14</v>
      </c>
      <c r="B135" s="3" t="s">
        <v>15</v>
      </c>
      <c r="C135" t="s">
        <v>110</v>
      </c>
      <c r="D135" t="s">
        <v>120</v>
      </c>
      <c r="E135" s="4">
        <v>45873</v>
      </c>
      <c r="F135">
        <v>0</v>
      </c>
      <c r="G135">
        <v>33.9482</v>
      </c>
      <c r="H135">
        <v>252.76</v>
      </c>
      <c r="I135">
        <v>0</v>
      </c>
      <c r="J135" t="s">
        <v>200</v>
      </c>
      <c r="K135" s="4" cm="1">
        <f t="array" ref="K135">_xlfn.XLOOKUP(
  1,
  ('Mutual Fund Transaction'!G:G='Mutual Fund Dividend'!D11) *
  ('Mutual Fund Transaction'!L:L='Mutual Fund Dividend'!H11),
  'Mutual Fund Transaction'!C:C,
  ""
)</f>
        <v>44100</v>
      </c>
    </row>
    <row r="136" spans="1:11">
      <c r="A136" s="2" t="s">
        <v>14</v>
      </c>
      <c r="B136" s="3" t="s">
        <v>15</v>
      </c>
      <c r="C136" t="s">
        <v>114</v>
      </c>
      <c r="D136" t="s">
        <v>122</v>
      </c>
      <c r="E136" s="4">
        <v>45894</v>
      </c>
      <c r="F136">
        <v>0</v>
      </c>
      <c r="G136">
        <v>80.500299999999996</v>
      </c>
      <c r="H136">
        <v>1850.91</v>
      </c>
      <c r="I136">
        <v>0</v>
      </c>
      <c r="J136" t="s">
        <v>200</v>
      </c>
      <c r="K136" s="4" t="str" cm="1">
        <f t="array" ref="K136">_xlfn.XLOOKUP(
  1,
  ('Mutual Fund Transaction'!G:G='Mutual Fund Dividend'!D10) *
  ('Mutual Fund Transaction'!L:L='Mutual Fund Dividend'!H10),
  'Mutual Fund Transaction'!C:C,
  ""
)</f>
        <v/>
      </c>
    </row>
    <row r="137" spans="1:11">
      <c r="A137" s="2" t="s">
        <v>14</v>
      </c>
      <c r="B137" s="3" t="s">
        <v>15</v>
      </c>
      <c r="C137" t="s">
        <v>106</v>
      </c>
      <c r="D137" t="s">
        <v>107</v>
      </c>
      <c r="E137" s="4">
        <v>45895</v>
      </c>
      <c r="F137">
        <v>0</v>
      </c>
      <c r="G137">
        <v>38.54</v>
      </c>
      <c r="H137">
        <v>26.17</v>
      </c>
      <c r="I137">
        <v>0.67900000000000005</v>
      </c>
      <c r="J137" t="s">
        <v>201</v>
      </c>
      <c r="K137" s="4" cm="1">
        <f t="array" ref="K137">_xlfn.XLOOKUP(
  1,
  ('Mutual Fund Transaction'!G:G='Mutual Fund Dividend'!D80) *
  ('Mutual Fund Transaction'!L:L='Mutual Fund Dividend'!H80) *
  ('Mutual Fund Transaction'!N:N='Mutual Fund Dividend'!I80),
  'Mutual Fund Transaction'!C:C,
  ""
)</f>
        <v>45072</v>
      </c>
    </row>
    <row r="138" spans="1:11">
      <c r="A138" s="2" t="s">
        <v>14</v>
      </c>
      <c r="B138" s="3" t="s">
        <v>15</v>
      </c>
      <c r="C138" t="s">
        <v>110</v>
      </c>
      <c r="D138" t="s">
        <v>120</v>
      </c>
      <c r="E138" s="4">
        <v>45902</v>
      </c>
      <c r="F138">
        <v>0</v>
      </c>
      <c r="G138">
        <v>34.267800000000001</v>
      </c>
      <c r="H138">
        <v>276.07</v>
      </c>
      <c r="I138">
        <v>0</v>
      </c>
      <c r="J138" t="s">
        <v>200</v>
      </c>
      <c r="K138" s="4" cm="1">
        <f t="array" ref="K138">_xlfn.XLOOKUP(
  1,
  ('Mutual Fund Transaction'!G:G='Mutual Fund Dividend'!D8) *
  ('Mutual Fund Transaction'!L:L='Mutual Fund Dividend'!H8),
  'Mutual Fund Transaction'!C:C,
  ""
)</f>
        <v>44048</v>
      </c>
    </row>
    <row r="139" spans="1:11">
      <c r="A139" s="2" t="s">
        <v>14</v>
      </c>
      <c r="B139" s="3" t="s">
        <v>15</v>
      </c>
      <c r="C139" t="s">
        <v>106</v>
      </c>
      <c r="D139" t="s">
        <v>107</v>
      </c>
      <c r="E139" s="4">
        <v>45926</v>
      </c>
      <c r="F139">
        <v>0</v>
      </c>
      <c r="G139">
        <v>38.485999999999997</v>
      </c>
      <c r="H139">
        <v>59.22</v>
      </c>
      <c r="I139">
        <v>1.5389999999999999</v>
      </c>
      <c r="J139" t="s">
        <v>201</v>
      </c>
      <c r="K139" s="4" t="str" cm="1">
        <f t="array" ref="K139">_xlfn.XLOOKUP(
  1,
  ('Mutual Fund Transaction'!G:G='Mutual Fund Dividend'!D81) *
  ('Mutual Fund Transaction'!L:L='Mutual Fund Dividend'!H81) *
  ('Mutual Fund Transaction'!N:N='Mutual Fund Dividend'!I81),
  'Mutual Fund Transaction'!C:C,
  ""
)</f>
        <v/>
      </c>
    </row>
    <row r="140" spans="1:11">
      <c r="A140" s="2" t="s">
        <v>14</v>
      </c>
      <c r="B140" s="3" t="s">
        <v>15</v>
      </c>
      <c r="C140" t="s">
        <v>110</v>
      </c>
      <c r="D140" t="s">
        <v>120</v>
      </c>
      <c r="E140" s="4">
        <v>45936</v>
      </c>
      <c r="F140">
        <v>0</v>
      </c>
      <c r="G140">
        <v>35.1586</v>
      </c>
      <c r="H140">
        <v>298.99</v>
      </c>
      <c r="I140">
        <v>0</v>
      </c>
      <c r="J140" t="s">
        <v>200</v>
      </c>
      <c r="K140" s="4" cm="1">
        <f t="array" ref="K140">_xlfn.XLOOKUP(
  1,
  ('Mutual Fund Transaction'!G:G='Mutual Fund Dividend'!D6) *
  ('Mutual Fund Transaction'!L:L='Mutual Fund Dividend'!H6),
  'Mutual Fund Transaction'!C:C,
  ""
)</f>
        <v>44015</v>
      </c>
    </row>
    <row r="141" spans="1:11">
      <c r="A141" s="2" t="s">
        <v>14</v>
      </c>
      <c r="B141" s="3" t="s">
        <v>15</v>
      </c>
      <c r="C141" t="s">
        <v>106</v>
      </c>
      <c r="D141" t="s">
        <v>107</v>
      </c>
      <c r="E141" s="4">
        <v>45958</v>
      </c>
      <c r="F141">
        <v>0</v>
      </c>
      <c r="G141">
        <v>39.185000000000002</v>
      </c>
      <c r="H141">
        <v>92.3</v>
      </c>
      <c r="I141">
        <v>2.355</v>
      </c>
      <c r="J141" t="s">
        <v>201</v>
      </c>
      <c r="K141" s="4" cm="1">
        <f t="array" ref="K141">_xlfn.XLOOKUP(
  1,
  ('Mutual Fund Transaction'!G:G='Mutual Fund Dividend'!D82) *
  ('Mutual Fund Transaction'!L:L='Mutual Fund Dividend'!H82) *
  ('Mutual Fund Transaction'!N:N='Mutual Fund Dividend'!I82),
  'Mutual Fund Transaction'!C:C,
  ""
)</f>
        <v>45104</v>
      </c>
    </row>
    <row r="142" spans="1:11">
      <c r="A142" s="2" t="s">
        <v>14</v>
      </c>
      <c r="B142" s="3" t="s">
        <v>15</v>
      </c>
      <c r="C142" t="s">
        <v>110</v>
      </c>
      <c r="D142" t="s">
        <v>120</v>
      </c>
      <c r="E142" s="4">
        <v>45965</v>
      </c>
      <c r="F142">
        <v>0</v>
      </c>
      <c r="G142">
        <v>35.439300000000003</v>
      </c>
      <c r="H142">
        <v>140.65</v>
      </c>
      <c r="I142">
        <v>0</v>
      </c>
      <c r="J142" t="s">
        <v>200</v>
      </c>
      <c r="K142" s="4" cm="1">
        <f t="array" ref="K142">_xlfn.XLOOKUP(
  1,
  ('Mutual Fund Transaction'!G:G='Mutual Fund Dividend'!D4) *
  ('Mutual Fund Transaction'!L:L='Mutual Fund Dividend'!H4),
  'Mutual Fund Transaction'!C:C,
  ""
)</f>
        <v>43978</v>
      </c>
    </row>
    <row r="143" spans="1:11">
      <c r="A143" s="2" t="s">
        <v>14</v>
      </c>
      <c r="B143" s="3" t="s">
        <v>15</v>
      </c>
      <c r="C143" t="s">
        <v>106</v>
      </c>
      <c r="D143" t="s">
        <v>107</v>
      </c>
      <c r="E143" s="4">
        <v>45987</v>
      </c>
      <c r="F143">
        <v>0</v>
      </c>
      <c r="G143">
        <v>38.933</v>
      </c>
      <c r="H143">
        <v>124.81</v>
      </c>
      <c r="I143">
        <v>3.206</v>
      </c>
      <c r="J143" t="s">
        <v>201</v>
      </c>
      <c r="K143" s="4" t="str" cm="1">
        <f t="array" ref="K143">_xlfn.XLOOKUP(
  1,
  ('Mutual Fund Transaction'!G:G='Mutual Fund Dividend'!D83) *
  ('Mutual Fund Transaction'!L:L='Mutual Fund Dividend'!H83) *
  ('Mutual Fund Transaction'!N:N='Mutual Fund Dividend'!I83),
  'Mutual Fund Transaction'!C:C,
  ""
)</f>
        <v/>
      </c>
    </row>
    <row r="144" spans="1:11">
      <c r="A144" s="2" t="s">
        <v>14</v>
      </c>
      <c r="B144" s="3" t="s">
        <v>15</v>
      </c>
      <c r="C144" t="s">
        <v>110</v>
      </c>
      <c r="D144" t="s">
        <v>120</v>
      </c>
      <c r="E144" s="4">
        <v>45992</v>
      </c>
      <c r="F144">
        <v>0</v>
      </c>
      <c r="G144">
        <v>36.040199999999999</v>
      </c>
      <c r="H144">
        <v>163.1</v>
      </c>
      <c r="I144">
        <v>0</v>
      </c>
      <c r="J144" t="s">
        <v>200</v>
      </c>
      <c r="K144" s="4" t="str" cm="1">
        <f t="array" ref="K144">_xlfn.XLOOKUP(
  1,
  ('Mutual Fund Transaction'!F:F='Mutual Fund Dividend'!C2) *
  ('Mutual Fund Transaction'!K:K='Mutual Fund Dividend'!G2),
  'Mutual Fund Transaction'!B:B,
  ""
)</f>
        <v/>
      </c>
    </row>
    <row r="145" spans="1:11">
      <c r="A145" t="s">
        <v>82</v>
      </c>
      <c r="B145" t="s">
        <v>15</v>
      </c>
      <c r="C145" t="s">
        <v>106</v>
      </c>
      <c r="D145" t="s">
        <v>107</v>
      </c>
      <c r="E145" s="4">
        <v>45986</v>
      </c>
      <c r="F145">
        <v>0</v>
      </c>
      <c r="G145">
        <v>39.183</v>
      </c>
      <c r="H145">
        <v>2823.26</v>
      </c>
      <c r="I145">
        <v>0</v>
      </c>
      <c r="J145" t="s">
        <v>200</v>
      </c>
      <c r="K145" s="4"/>
    </row>
    <row r="146" spans="1:11">
      <c r="A146" t="s">
        <v>82</v>
      </c>
      <c r="B146" t="s">
        <v>15</v>
      </c>
      <c r="C146" t="s">
        <v>110</v>
      </c>
      <c r="D146" t="s">
        <v>209</v>
      </c>
      <c r="E146" s="4">
        <v>45974</v>
      </c>
      <c r="F146">
        <v>0</v>
      </c>
      <c r="G146">
        <v>44.07</v>
      </c>
      <c r="H146">
        <v>29321.85</v>
      </c>
      <c r="I146">
        <v>0</v>
      </c>
      <c r="J146" t="s">
        <v>200</v>
      </c>
      <c r="K146" s="4"/>
    </row>
    <row r="147" spans="1:11">
      <c r="A147" t="s">
        <v>82</v>
      </c>
      <c r="B147" t="s">
        <v>15</v>
      </c>
      <c r="C147" t="s">
        <v>106</v>
      </c>
      <c r="D147" t="s">
        <v>107</v>
      </c>
      <c r="E147" s="4">
        <v>45957</v>
      </c>
      <c r="F147">
        <v>0</v>
      </c>
      <c r="G147">
        <v>39.435000000000002</v>
      </c>
      <c r="H147">
        <v>2823.26</v>
      </c>
      <c r="I147">
        <v>0</v>
      </c>
      <c r="J147" t="s">
        <v>200</v>
      </c>
      <c r="K147" s="4"/>
    </row>
    <row r="148" spans="1:11">
      <c r="A148" t="s">
        <v>82</v>
      </c>
      <c r="B148" t="s">
        <v>15</v>
      </c>
      <c r="C148" t="s">
        <v>110</v>
      </c>
      <c r="D148" t="s">
        <v>211</v>
      </c>
      <c r="E148" s="4">
        <v>45943</v>
      </c>
      <c r="F148">
        <v>0</v>
      </c>
      <c r="G148">
        <v>19.27</v>
      </c>
      <c r="H148">
        <v>8576.11</v>
      </c>
      <c r="I148">
        <v>0</v>
      </c>
      <c r="J148" t="s">
        <v>200</v>
      </c>
      <c r="K148" s="4"/>
    </row>
    <row r="149" spans="1:11">
      <c r="A149" t="s">
        <v>82</v>
      </c>
      <c r="B149" t="s">
        <v>15</v>
      </c>
      <c r="C149" t="s">
        <v>106</v>
      </c>
      <c r="D149" t="s">
        <v>107</v>
      </c>
      <c r="E149" s="4">
        <v>45925</v>
      </c>
      <c r="F149">
        <v>0</v>
      </c>
      <c r="G149">
        <v>38.735999999999997</v>
      </c>
      <c r="H149">
        <v>2823.26</v>
      </c>
      <c r="I149">
        <v>0</v>
      </c>
      <c r="J149" t="s">
        <v>200</v>
      </c>
      <c r="K149" s="4"/>
    </row>
    <row r="150" spans="1:11">
      <c r="A150" t="s">
        <v>82</v>
      </c>
      <c r="B150" t="s">
        <v>15</v>
      </c>
      <c r="C150" t="s">
        <v>106</v>
      </c>
      <c r="D150" t="s">
        <v>107</v>
      </c>
      <c r="E150" s="4">
        <v>45894</v>
      </c>
      <c r="F150">
        <v>0</v>
      </c>
      <c r="G150">
        <v>38.79</v>
      </c>
      <c r="H150">
        <v>2823.26</v>
      </c>
      <c r="I150">
        <v>0</v>
      </c>
      <c r="J150" t="s">
        <v>200</v>
      </c>
      <c r="K150" s="4"/>
    </row>
    <row r="151" spans="1:11">
      <c r="A151" t="s">
        <v>82</v>
      </c>
      <c r="B151" t="s">
        <v>15</v>
      </c>
      <c r="C151" t="s">
        <v>114</v>
      </c>
      <c r="D151" t="s">
        <v>122</v>
      </c>
      <c r="E151" s="4">
        <v>45894</v>
      </c>
      <c r="F151">
        <v>0</v>
      </c>
      <c r="G151">
        <v>80.500299999999996</v>
      </c>
      <c r="H151">
        <v>11384.54</v>
      </c>
      <c r="I151">
        <v>0</v>
      </c>
      <c r="J151" t="s">
        <v>200</v>
      </c>
      <c r="K151" s="4"/>
    </row>
    <row r="152" spans="1:11">
      <c r="A152" t="s">
        <v>82</v>
      </c>
      <c r="B152" t="s">
        <v>15</v>
      </c>
      <c r="C152" t="s">
        <v>106</v>
      </c>
      <c r="D152" t="s">
        <v>107</v>
      </c>
      <c r="E152" s="4">
        <v>45863</v>
      </c>
      <c r="F152">
        <v>0</v>
      </c>
      <c r="G152">
        <v>39.04</v>
      </c>
      <c r="H152">
        <v>2823.26</v>
      </c>
      <c r="I152">
        <v>0</v>
      </c>
      <c r="J152" t="s">
        <v>200</v>
      </c>
      <c r="K152" s="4"/>
    </row>
    <row r="153" spans="1:11">
      <c r="A153" t="s">
        <v>82</v>
      </c>
      <c r="B153" t="s">
        <v>15</v>
      </c>
      <c r="C153" t="s">
        <v>106</v>
      </c>
      <c r="D153" t="s">
        <v>107</v>
      </c>
      <c r="E153" s="4">
        <v>45833</v>
      </c>
      <c r="F153">
        <v>0</v>
      </c>
      <c r="G153">
        <v>39.548000000000002</v>
      </c>
      <c r="H153">
        <v>2195.2600000000002</v>
      </c>
      <c r="I153">
        <v>0</v>
      </c>
      <c r="J153" t="s">
        <v>200</v>
      </c>
      <c r="K153" s="4"/>
    </row>
    <row r="154" spans="1:11">
      <c r="A154" t="s">
        <v>82</v>
      </c>
      <c r="B154" t="s">
        <v>15</v>
      </c>
      <c r="C154" t="s">
        <v>106</v>
      </c>
      <c r="D154" t="s">
        <v>107</v>
      </c>
      <c r="E154" s="4">
        <v>45803</v>
      </c>
      <c r="F154">
        <v>0</v>
      </c>
      <c r="G154">
        <v>39.475999999999999</v>
      </c>
      <c r="H154">
        <v>3137.26</v>
      </c>
      <c r="I154">
        <v>0</v>
      </c>
      <c r="J154" t="s">
        <v>200</v>
      </c>
      <c r="K154" s="4"/>
    </row>
    <row r="155" spans="1:11">
      <c r="A155" t="s">
        <v>82</v>
      </c>
      <c r="B155" t="s">
        <v>15</v>
      </c>
      <c r="C155" t="s">
        <v>106</v>
      </c>
      <c r="D155" t="s">
        <v>107</v>
      </c>
      <c r="E155" s="4">
        <v>45772</v>
      </c>
      <c r="F155">
        <v>0</v>
      </c>
      <c r="G155">
        <v>38.43</v>
      </c>
      <c r="H155">
        <v>3137.26</v>
      </c>
      <c r="I155">
        <v>0</v>
      </c>
      <c r="J155" t="s">
        <v>200</v>
      </c>
      <c r="K155" s="4"/>
    </row>
    <row r="156" spans="1:11">
      <c r="A156" t="s">
        <v>82</v>
      </c>
      <c r="B156" t="s">
        <v>15</v>
      </c>
      <c r="C156" t="s">
        <v>106</v>
      </c>
      <c r="D156" t="s">
        <v>107</v>
      </c>
      <c r="E156" s="4">
        <v>45741</v>
      </c>
      <c r="F156">
        <v>0</v>
      </c>
      <c r="G156">
        <v>38.125</v>
      </c>
      <c r="H156">
        <v>2823.26</v>
      </c>
      <c r="I156">
        <v>0</v>
      </c>
      <c r="J156" t="s">
        <v>200</v>
      </c>
      <c r="K156" s="4"/>
    </row>
    <row r="157" spans="1:11">
      <c r="A157" t="s">
        <v>82</v>
      </c>
      <c r="B157" t="s">
        <v>15</v>
      </c>
      <c r="C157" t="s">
        <v>106</v>
      </c>
      <c r="D157" t="s">
        <v>107</v>
      </c>
      <c r="E157" s="4">
        <v>45713</v>
      </c>
      <c r="F157">
        <v>0</v>
      </c>
      <c r="G157">
        <v>36.988</v>
      </c>
      <c r="H157">
        <v>2823.26</v>
      </c>
      <c r="I157">
        <v>0</v>
      </c>
      <c r="J157" t="s">
        <v>200</v>
      </c>
      <c r="K157" s="4"/>
    </row>
    <row r="158" spans="1:11">
      <c r="A158" t="s">
        <v>82</v>
      </c>
      <c r="B158" t="s">
        <v>15</v>
      </c>
      <c r="C158" t="s">
        <v>106</v>
      </c>
      <c r="D158" t="s">
        <v>107</v>
      </c>
      <c r="E158" s="4">
        <v>45684</v>
      </c>
      <c r="F158">
        <v>0</v>
      </c>
      <c r="G158">
        <v>37.783000000000001</v>
      </c>
      <c r="H158">
        <v>2823.26</v>
      </c>
      <c r="I158">
        <v>0</v>
      </c>
      <c r="J158" t="s">
        <v>200</v>
      </c>
      <c r="K158" s="4"/>
    </row>
    <row r="159" spans="1:11">
      <c r="A159" t="s">
        <v>82</v>
      </c>
      <c r="B159" t="s">
        <v>15</v>
      </c>
      <c r="C159" t="s">
        <v>106</v>
      </c>
      <c r="D159" t="s">
        <v>107</v>
      </c>
      <c r="E159" s="4">
        <v>45652</v>
      </c>
      <c r="F159">
        <v>0</v>
      </c>
      <c r="G159">
        <v>39.53</v>
      </c>
      <c r="H159">
        <v>2823.26</v>
      </c>
      <c r="I159">
        <v>0</v>
      </c>
      <c r="J159" t="s">
        <v>200</v>
      </c>
      <c r="K159" s="4"/>
    </row>
    <row r="160" spans="1:11">
      <c r="A160" t="s">
        <v>82</v>
      </c>
      <c r="B160" t="s">
        <v>15</v>
      </c>
      <c r="C160" t="s">
        <v>106</v>
      </c>
      <c r="D160" t="s">
        <v>107</v>
      </c>
      <c r="E160" s="4">
        <v>45621</v>
      </c>
      <c r="F160">
        <v>0</v>
      </c>
      <c r="G160">
        <v>39.814999999999998</v>
      </c>
      <c r="H160">
        <v>2823.26</v>
      </c>
      <c r="I160">
        <v>0</v>
      </c>
      <c r="J160" t="s">
        <v>200</v>
      </c>
      <c r="K160" s="4"/>
    </row>
    <row r="161" spans="1:11">
      <c r="A161" t="s">
        <v>82</v>
      </c>
      <c r="B161" t="s">
        <v>15</v>
      </c>
      <c r="C161" t="s">
        <v>110</v>
      </c>
      <c r="D161" t="s">
        <v>209</v>
      </c>
      <c r="E161" s="4">
        <v>45610</v>
      </c>
      <c r="F161">
        <v>0</v>
      </c>
      <c r="G161">
        <v>42.12</v>
      </c>
      <c r="H161">
        <v>29341.38</v>
      </c>
      <c r="I161">
        <v>0</v>
      </c>
      <c r="J161" t="s">
        <v>200</v>
      </c>
      <c r="K161" s="4"/>
    </row>
    <row r="162" spans="1:11">
      <c r="A162" t="s">
        <v>82</v>
      </c>
      <c r="B162" t="s">
        <v>15</v>
      </c>
      <c r="C162" t="s">
        <v>106</v>
      </c>
      <c r="D162" t="s">
        <v>107</v>
      </c>
      <c r="E162" s="4">
        <v>45590</v>
      </c>
      <c r="F162">
        <v>0</v>
      </c>
      <c r="G162">
        <v>39.911000000000001</v>
      </c>
      <c r="H162">
        <v>2823.26</v>
      </c>
      <c r="I162">
        <v>0</v>
      </c>
      <c r="J162" t="s">
        <v>200</v>
      </c>
      <c r="K162" s="4"/>
    </row>
    <row r="163" spans="1:11">
      <c r="A163" t="s">
        <v>82</v>
      </c>
      <c r="B163" t="s">
        <v>15</v>
      </c>
      <c r="C163" t="s">
        <v>110</v>
      </c>
      <c r="D163" t="s">
        <v>211</v>
      </c>
      <c r="E163" s="4">
        <v>45582</v>
      </c>
      <c r="F163">
        <v>0</v>
      </c>
      <c r="G163">
        <v>19.54</v>
      </c>
      <c r="H163">
        <v>7718.11</v>
      </c>
      <c r="I163">
        <v>0</v>
      </c>
      <c r="J163" t="s">
        <v>200</v>
      </c>
      <c r="K163" s="4"/>
    </row>
    <row r="164" spans="1:11">
      <c r="A164" t="s">
        <v>82</v>
      </c>
      <c r="B164" t="s">
        <v>15</v>
      </c>
      <c r="C164" t="s">
        <v>106</v>
      </c>
      <c r="D164" t="s">
        <v>107</v>
      </c>
      <c r="E164" s="4">
        <v>45560</v>
      </c>
      <c r="F164">
        <v>0</v>
      </c>
      <c r="G164">
        <v>41.56</v>
      </c>
      <c r="H164">
        <v>2823.26</v>
      </c>
      <c r="I164">
        <v>0</v>
      </c>
      <c r="J164" t="s">
        <v>200</v>
      </c>
      <c r="K164" s="4"/>
    </row>
    <row r="165" spans="1:11">
      <c r="A165" t="s">
        <v>82</v>
      </c>
      <c r="B165" t="s">
        <v>15</v>
      </c>
      <c r="C165" t="s">
        <v>114</v>
      </c>
      <c r="D165" t="s">
        <v>122</v>
      </c>
      <c r="E165" s="4">
        <v>45530</v>
      </c>
      <c r="F165">
        <v>0</v>
      </c>
      <c r="G165">
        <v>87.533600000000007</v>
      </c>
      <c r="H165">
        <v>13135.62</v>
      </c>
      <c r="I165">
        <v>0</v>
      </c>
      <c r="J165" t="s">
        <v>200</v>
      </c>
      <c r="K165" s="4"/>
    </row>
    <row r="166" spans="1:11">
      <c r="A166" t="s">
        <v>82</v>
      </c>
      <c r="B166" t="s">
        <v>15</v>
      </c>
      <c r="C166" t="s">
        <v>106</v>
      </c>
      <c r="D166" t="s">
        <v>107</v>
      </c>
      <c r="E166" s="4">
        <v>45530</v>
      </c>
      <c r="F166">
        <v>0</v>
      </c>
      <c r="G166">
        <v>41.38</v>
      </c>
      <c r="H166">
        <v>2823.26</v>
      </c>
      <c r="I166">
        <v>0</v>
      </c>
      <c r="J166" t="s">
        <v>200</v>
      </c>
      <c r="K166" s="4"/>
    </row>
    <row r="167" spans="1:11">
      <c r="A167" t="s">
        <v>82</v>
      </c>
      <c r="B167" t="s">
        <v>15</v>
      </c>
      <c r="C167" t="s">
        <v>106</v>
      </c>
      <c r="D167" t="s">
        <v>107</v>
      </c>
      <c r="E167" s="4">
        <v>45498</v>
      </c>
      <c r="F167">
        <v>0</v>
      </c>
      <c r="G167">
        <v>41.023000000000003</v>
      </c>
      <c r="H167">
        <v>2823.26</v>
      </c>
      <c r="I167">
        <v>0</v>
      </c>
      <c r="J167" t="s">
        <v>200</v>
      </c>
      <c r="K167" s="4"/>
    </row>
    <row r="168" spans="1:11">
      <c r="A168" t="s">
        <v>82</v>
      </c>
      <c r="B168" t="s">
        <v>15</v>
      </c>
      <c r="C168" t="s">
        <v>106</v>
      </c>
      <c r="D168" t="s">
        <v>107</v>
      </c>
      <c r="E168" s="4">
        <v>45468</v>
      </c>
      <c r="F168">
        <v>0</v>
      </c>
      <c r="G168">
        <v>40.292999999999999</v>
      </c>
      <c r="H168">
        <v>2823.26</v>
      </c>
      <c r="I168">
        <v>0</v>
      </c>
      <c r="J168" t="s">
        <v>200</v>
      </c>
      <c r="K168" s="4"/>
    </row>
    <row r="169" spans="1:11">
      <c r="A169" t="s">
        <v>82</v>
      </c>
      <c r="B169" t="s">
        <v>15</v>
      </c>
      <c r="C169" t="s">
        <v>106</v>
      </c>
      <c r="D169" t="s">
        <v>107</v>
      </c>
      <c r="E169" s="4">
        <v>45439</v>
      </c>
      <c r="F169">
        <v>0</v>
      </c>
      <c r="G169">
        <v>39.829000000000001</v>
      </c>
      <c r="H169">
        <v>2509.2600000000002</v>
      </c>
      <c r="I169">
        <v>0</v>
      </c>
      <c r="J169" t="s">
        <v>200</v>
      </c>
      <c r="K169" s="4"/>
    </row>
    <row r="170" spans="1:11">
      <c r="A170" t="s">
        <v>82</v>
      </c>
      <c r="B170" t="s">
        <v>15</v>
      </c>
      <c r="C170" t="s">
        <v>106</v>
      </c>
      <c r="D170" t="s">
        <v>107</v>
      </c>
      <c r="E170" s="4">
        <v>45407</v>
      </c>
      <c r="F170">
        <v>0</v>
      </c>
      <c r="G170">
        <v>38.631999999999998</v>
      </c>
      <c r="H170">
        <v>3137.26</v>
      </c>
      <c r="I170">
        <v>0</v>
      </c>
      <c r="J170" t="s">
        <v>200</v>
      </c>
      <c r="K170" s="4"/>
    </row>
    <row r="171" spans="1:11">
      <c r="A171" t="s">
        <v>82</v>
      </c>
      <c r="B171" t="s">
        <v>15</v>
      </c>
      <c r="C171" t="s">
        <v>106</v>
      </c>
      <c r="D171" t="s">
        <v>107</v>
      </c>
      <c r="E171" s="4">
        <v>45377</v>
      </c>
      <c r="F171">
        <v>0</v>
      </c>
      <c r="G171">
        <v>37.537999999999997</v>
      </c>
      <c r="H171">
        <v>2823.26</v>
      </c>
      <c r="I171">
        <v>0</v>
      </c>
      <c r="J171" t="s">
        <v>200</v>
      </c>
      <c r="K171" s="4"/>
    </row>
    <row r="172" spans="1:11">
      <c r="A172" t="s">
        <v>82</v>
      </c>
      <c r="B172" t="s">
        <v>15</v>
      </c>
      <c r="C172" t="s">
        <v>106</v>
      </c>
      <c r="D172" t="s">
        <v>107</v>
      </c>
      <c r="E172" s="4">
        <v>45348</v>
      </c>
      <c r="F172">
        <v>0</v>
      </c>
      <c r="G172">
        <v>38.122999999999998</v>
      </c>
      <c r="H172">
        <v>2823.26</v>
      </c>
      <c r="I172">
        <v>0</v>
      </c>
      <c r="J172" t="s">
        <v>200</v>
      </c>
      <c r="K172" s="4"/>
    </row>
    <row r="173" spans="1:11">
      <c r="A173" t="s">
        <v>82</v>
      </c>
      <c r="B173" t="s">
        <v>15</v>
      </c>
      <c r="C173" t="s">
        <v>106</v>
      </c>
      <c r="D173" t="s">
        <v>107</v>
      </c>
      <c r="E173" s="4">
        <v>45316</v>
      </c>
      <c r="F173">
        <v>0</v>
      </c>
      <c r="G173">
        <v>37.006</v>
      </c>
      <c r="H173">
        <v>2823.26</v>
      </c>
      <c r="I173">
        <v>0</v>
      </c>
      <c r="J173" t="s">
        <v>200</v>
      </c>
      <c r="K173" s="4"/>
    </row>
    <row r="174" spans="1:11">
      <c r="A174" t="s">
        <v>82</v>
      </c>
      <c r="B174" t="s">
        <v>15</v>
      </c>
      <c r="C174" t="s">
        <v>106</v>
      </c>
      <c r="D174" t="s">
        <v>107</v>
      </c>
      <c r="E174" s="4">
        <v>45286</v>
      </c>
      <c r="F174">
        <v>0</v>
      </c>
      <c r="G174">
        <v>36.247</v>
      </c>
      <c r="H174">
        <v>2823.26</v>
      </c>
      <c r="I174">
        <v>0</v>
      </c>
      <c r="J174" t="s">
        <v>200</v>
      </c>
      <c r="K174" s="4"/>
    </row>
    <row r="175" spans="1:11">
      <c r="A175" t="s">
        <v>82</v>
      </c>
      <c r="B175" t="s">
        <v>15</v>
      </c>
      <c r="C175" t="s">
        <v>106</v>
      </c>
      <c r="D175" t="s">
        <v>107</v>
      </c>
      <c r="E175" s="4">
        <v>45258</v>
      </c>
      <c r="F175">
        <v>0</v>
      </c>
      <c r="G175">
        <v>34.174999999999997</v>
      </c>
      <c r="H175">
        <v>2597.2800000000002</v>
      </c>
      <c r="I175">
        <v>0</v>
      </c>
      <c r="J175" t="s">
        <v>200</v>
      </c>
      <c r="K175" s="4"/>
    </row>
    <row r="176" spans="1:11">
      <c r="A176" t="s">
        <v>82</v>
      </c>
      <c r="B176" t="s">
        <v>15</v>
      </c>
      <c r="C176" t="s">
        <v>110</v>
      </c>
      <c r="D176" t="s">
        <v>209</v>
      </c>
      <c r="E176" s="4">
        <v>45245</v>
      </c>
      <c r="F176">
        <v>0</v>
      </c>
      <c r="G176">
        <v>33.46</v>
      </c>
      <c r="H176">
        <v>23473.1</v>
      </c>
      <c r="I176">
        <v>0</v>
      </c>
      <c r="J176" t="s">
        <v>200</v>
      </c>
      <c r="K176" s="4"/>
    </row>
    <row r="177" spans="1:11">
      <c r="A177" t="s">
        <v>82</v>
      </c>
      <c r="B177" t="s">
        <v>15</v>
      </c>
      <c r="C177" t="s">
        <v>106</v>
      </c>
      <c r="D177" t="s">
        <v>107</v>
      </c>
      <c r="E177" s="4">
        <v>45224</v>
      </c>
      <c r="F177">
        <v>0</v>
      </c>
      <c r="G177">
        <v>32.594000000000001</v>
      </c>
      <c r="H177">
        <v>2597.2800000000002</v>
      </c>
      <c r="I177">
        <v>0</v>
      </c>
      <c r="J177" t="s">
        <v>200</v>
      </c>
      <c r="K177" s="4"/>
    </row>
    <row r="178" spans="1:11">
      <c r="A178" t="s">
        <v>82</v>
      </c>
      <c r="B178" t="s">
        <v>15</v>
      </c>
      <c r="C178" t="s">
        <v>110</v>
      </c>
      <c r="D178" t="s">
        <v>211</v>
      </c>
      <c r="E178" s="4">
        <v>45215</v>
      </c>
      <c r="F178">
        <v>0</v>
      </c>
      <c r="G178">
        <v>18.09</v>
      </c>
      <c r="H178">
        <v>9648.1299999999992</v>
      </c>
      <c r="I178">
        <v>0</v>
      </c>
      <c r="J178" t="s">
        <v>200</v>
      </c>
      <c r="K178" s="4"/>
    </row>
    <row r="179" spans="1:11">
      <c r="A179" t="s">
        <v>82</v>
      </c>
      <c r="B179" t="s">
        <v>15</v>
      </c>
      <c r="C179" t="s">
        <v>106</v>
      </c>
      <c r="D179" t="s">
        <v>107</v>
      </c>
      <c r="E179" s="4">
        <v>45194</v>
      </c>
      <c r="F179">
        <v>0</v>
      </c>
      <c r="G179">
        <v>33.247999999999998</v>
      </c>
      <c r="H179">
        <v>2597.2800000000002</v>
      </c>
      <c r="I179">
        <v>0</v>
      </c>
      <c r="J179" t="s">
        <v>200</v>
      </c>
      <c r="K179" s="4"/>
    </row>
    <row r="180" spans="1:11">
      <c r="A180" t="s">
        <v>82</v>
      </c>
      <c r="B180" t="s">
        <v>15</v>
      </c>
      <c r="C180" t="s">
        <v>106</v>
      </c>
      <c r="D180" t="s">
        <v>107</v>
      </c>
      <c r="E180" s="4">
        <v>45163</v>
      </c>
      <c r="F180">
        <v>0</v>
      </c>
      <c r="G180">
        <v>32.453000000000003</v>
      </c>
      <c r="H180">
        <v>2597.2800000000002</v>
      </c>
      <c r="I180">
        <v>0</v>
      </c>
      <c r="J180" t="s">
        <v>200</v>
      </c>
      <c r="K180" s="4"/>
    </row>
    <row r="181" spans="1:11">
      <c r="A181" t="s">
        <v>82</v>
      </c>
      <c r="B181" t="s">
        <v>15</v>
      </c>
      <c r="C181" t="s">
        <v>114</v>
      </c>
      <c r="D181" t="s">
        <v>122</v>
      </c>
      <c r="E181" s="4">
        <v>45163</v>
      </c>
      <c r="F181">
        <v>0</v>
      </c>
      <c r="G181">
        <v>59.646000000000001</v>
      </c>
      <c r="H181">
        <v>8757.42</v>
      </c>
      <c r="I181">
        <v>0</v>
      </c>
      <c r="J181" t="s">
        <v>200</v>
      </c>
      <c r="K181" s="4"/>
    </row>
    <row r="182" spans="1:11">
      <c r="A182" t="s">
        <v>82</v>
      </c>
      <c r="B182" t="s">
        <v>15</v>
      </c>
      <c r="C182" t="s">
        <v>106</v>
      </c>
      <c r="D182" t="s">
        <v>107</v>
      </c>
      <c r="E182" s="4">
        <v>45132</v>
      </c>
      <c r="F182">
        <v>0</v>
      </c>
      <c r="G182">
        <v>32.106000000000002</v>
      </c>
      <c r="H182">
        <v>2597.2800000000002</v>
      </c>
      <c r="I182">
        <v>0</v>
      </c>
      <c r="J182" t="s">
        <v>200</v>
      </c>
      <c r="K182" s="4"/>
    </row>
    <row r="183" spans="1:11">
      <c r="A183" t="s">
        <v>82</v>
      </c>
      <c r="B183" t="s">
        <v>15</v>
      </c>
      <c r="C183" t="s">
        <v>106</v>
      </c>
      <c r="D183" t="s">
        <v>107</v>
      </c>
      <c r="E183" s="4">
        <v>45103</v>
      </c>
      <c r="F183">
        <v>0</v>
      </c>
      <c r="G183">
        <v>30.861000000000001</v>
      </c>
      <c r="H183">
        <v>2597.2800000000002</v>
      </c>
      <c r="I183">
        <v>0</v>
      </c>
      <c r="J183" t="s">
        <v>200</v>
      </c>
      <c r="K183" s="4"/>
    </row>
    <row r="184" spans="1:11">
      <c r="A184" t="s">
        <v>82</v>
      </c>
      <c r="B184" t="s">
        <v>15</v>
      </c>
      <c r="C184" t="s">
        <v>106</v>
      </c>
      <c r="D184" t="s">
        <v>107</v>
      </c>
      <c r="E184" s="4">
        <v>45071</v>
      </c>
      <c r="F184">
        <v>0</v>
      </c>
      <c r="G184">
        <v>30.298999999999999</v>
      </c>
      <c r="H184">
        <v>2308.2800000000002</v>
      </c>
      <c r="I184">
        <v>0</v>
      </c>
      <c r="J184" t="s">
        <v>200</v>
      </c>
      <c r="K184" s="4"/>
    </row>
    <row r="185" spans="1:11">
      <c r="A185" t="s">
        <v>82</v>
      </c>
      <c r="B185" t="s">
        <v>15</v>
      </c>
      <c r="C185" t="s">
        <v>106</v>
      </c>
      <c r="D185" t="s">
        <v>107</v>
      </c>
      <c r="E185" s="4">
        <v>45041</v>
      </c>
      <c r="F185">
        <v>0</v>
      </c>
      <c r="G185">
        <v>29.920999999999999</v>
      </c>
      <c r="H185">
        <v>2886.28</v>
      </c>
      <c r="I185">
        <v>0</v>
      </c>
      <c r="J185" t="s">
        <v>200</v>
      </c>
      <c r="K185" s="4"/>
    </row>
    <row r="186" spans="1:11">
      <c r="A186" t="s">
        <v>82</v>
      </c>
      <c r="B186" t="s">
        <v>15</v>
      </c>
      <c r="C186" t="s">
        <v>106</v>
      </c>
      <c r="D186" t="s">
        <v>107</v>
      </c>
      <c r="E186" s="4">
        <v>45012</v>
      </c>
      <c r="F186">
        <v>0</v>
      </c>
      <c r="G186">
        <v>29.088000000000001</v>
      </c>
      <c r="H186">
        <v>2936.75</v>
      </c>
      <c r="I186">
        <v>0</v>
      </c>
      <c r="J186" t="s">
        <v>200</v>
      </c>
      <c r="K186" s="4"/>
    </row>
    <row r="187" spans="1:11">
      <c r="A187" t="s">
        <v>82</v>
      </c>
      <c r="B187" t="s">
        <v>15</v>
      </c>
      <c r="C187" t="s">
        <v>106</v>
      </c>
      <c r="D187" t="s">
        <v>107</v>
      </c>
      <c r="E187" s="4">
        <v>44984</v>
      </c>
      <c r="F187">
        <v>0</v>
      </c>
      <c r="G187">
        <v>29.510999999999999</v>
      </c>
      <c r="H187">
        <v>2543.54</v>
      </c>
      <c r="I187">
        <v>0</v>
      </c>
      <c r="J187" t="s">
        <v>200</v>
      </c>
      <c r="K187" s="4"/>
    </row>
    <row r="188" spans="1:11">
      <c r="A188" t="s">
        <v>82</v>
      </c>
      <c r="B188" t="s">
        <v>15</v>
      </c>
      <c r="C188" t="s">
        <v>106</v>
      </c>
      <c r="D188" t="s">
        <v>107</v>
      </c>
      <c r="E188" s="4">
        <v>44951</v>
      </c>
      <c r="F188">
        <v>0</v>
      </c>
      <c r="G188">
        <v>0</v>
      </c>
      <c r="H188">
        <v>2543.54</v>
      </c>
      <c r="I188">
        <v>0</v>
      </c>
      <c r="J188" t="s">
        <v>200</v>
      </c>
      <c r="K188" s="4"/>
    </row>
    <row r="189" spans="1:11">
      <c r="A189" t="s">
        <v>82</v>
      </c>
      <c r="B189" t="s">
        <v>15</v>
      </c>
      <c r="C189" t="s">
        <v>106</v>
      </c>
      <c r="D189" t="s">
        <v>107</v>
      </c>
      <c r="E189" s="4">
        <v>44921</v>
      </c>
      <c r="F189">
        <v>0</v>
      </c>
      <c r="G189">
        <v>0</v>
      </c>
      <c r="H189">
        <v>2543.54</v>
      </c>
      <c r="I189">
        <v>0</v>
      </c>
      <c r="J189" t="s">
        <v>200</v>
      </c>
      <c r="K189" s="4"/>
    </row>
    <row r="190" spans="1:11">
      <c r="A190" t="s">
        <v>82</v>
      </c>
      <c r="B190" t="s">
        <v>15</v>
      </c>
      <c r="C190" t="s">
        <v>106</v>
      </c>
      <c r="D190" t="s">
        <v>107</v>
      </c>
      <c r="E190" s="4">
        <v>44890</v>
      </c>
      <c r="F190">
        <v>0</v>
      </c>
      <c r="G190">
        <v>30.878</v>
      </c>
      <c r="H190">
        <v>2543.54</v>
      </c>
      <c r="I190">
        <v>0</v>
      </c>
      <c r="J190" t="s">
        <v>200</v>
      </c>
      <c r="K190" s="4"/>
    </row>
    <row r="191" spans="1:11">
      <c r="A191" t="s">
        <v>82</v>
      </c>
      <c r="B191" t="s">
        <v>15</v>
      </c>
      <c r="C191" t="s">
        <v>110</v>
      </c>
      <c r="D191" t="s">
        <v>209</v>
      </c>
      <c r="E191" s="4">
        <v>44874</v>
      </c>
      <c r="F191">
        <v>0</v>
      </c>
      <c r="G191">
        <v>31.34</v>
      </c>
      <c r="H191">
        <v>18165</v>
      </c>
      <c r="I191">
        <v>0</v>
      </c>
      <c r="J191" t="s">
        <v>200</v>
      </c>
      <c r="K191" s="4"/>
    </row>
    <row r="192" spans="1:11">
      <c r="A192" t="s">
        <v>82</v>
      </c>
      <c r="B192" t="s">
        <v>15</v>
      </c>
      <c r="C192" t="s">
        <v>106</v>
      </c>
      <c r="D192" t="s">
        <v>107</v>
      </c>
      <c r="E192" s="4">
        <v>44859</v>
      </c>
      <c r="F192">
        <v>0</v>
      </c>
      <c r="G192">
        <v>30.010999999999999</v>
      </c>
      <c r="H192">
        <v>2543.54</v>
      </c>
      <c r="I192">
        <v>0</v>
      </c>
      <c r="J192" t="s">
        <v>200</v>
      </c>
      <c r="K192" s="4"/>
    </row>
    <row r="193" spans="1:11">
      <c r="A193" t="s">
        <v>82</v>
      </c>
      <c r="B193" t="s">
        <v>15</v>
      </c>
      <c r="C193" t="s">
        <v>106</v>
      </c>
      <c r="D193" t="s">
        <v>107</v>
      </c>
      <c r="E193" s="4">
        <v>44830</v>
      </c>
      <c r="F193">
        <v>0</v>
      </c>
      <c r="G193">
        <v>29.113</v>
      </c>
      <c r="H193">
        <v>2543.54</v>
      </c>
      <c r="I193">
        <v>0</v>
      </c>
      <c r="J193" t="s">
        <v>200</v>
      </c>
      <c r="K193" s="4"/>
    </row>
    <row r="194" spans="1:11">
      <c r="A194" t="s">
        <v>82</v>
      </c>
      <c r="B194" t="s">
        <v>15</v>
      </c>
      <c r="C194" t="s">
        <v>106</v>
      </c>
      <c r="D194" t="s">
        <v>107</v>
      </c>
      <c r="E194" s="4">
        <v>44798</v>
      </c>
      <c r="F194">
        <v>0</v>
      </c>
      <c r="G194">
        <v>29.722999999999999</v>
      </c>
      <c r="H194">
        <v>2543.54</v>
      </c>
      <c r="I194">
        <v>0</v>
      </c>
      <c r="J194" t="s">
        <v>200</v>
      </c>
      <c r="K194" s="4"/>
    </row>
    <row r="195" spans="1:11">
      <c r="A195" t="s">
        <v>82</v>
      </c>
      <c r="B195" t="s">
        <v>15</v>
      </c>
      <c r="C195" t="s">
        <v>106</v>
      </c>
      <c r="D195" t="s">
        <v>107</v>
      </c>
      <c r="E195" s="4">
        <v>44767</v>
      </c>
      <c r="F195">
        <v>0</v>
      </c>
      <c r="G195">
        <v>28.707999999999998</v>
      </c>
      <c r="H195">
        <v>2260.54</v>
      </c>
      <c r="I195">
        <v>0</v>
      </c>
      <c r="J195" t="s">
        <v>200</v>
      </c>
      <c r="K195" s="4"/>
    </row>
    <row r="196" spans="1:11">
      <c r="A196" t="s">
        <v>82</v>
      </c>
      <c r="B196" t="s">
        <v>15</v>
      </c>
      <c r="C196" t="s">
        <v>106</v>
      </c>
      <c r="D196" t="s">
        <v>107</v>
      </c>
      <c r="E196" s="4">
        <v>44739</v>
      </c>
      <c r="F196">
        <v>0</v>
      </c>
      <c r="G196">
        <v>27.585999999999999</v>
      </c>
      <c r="H196">
        <v>2826.54</v>
      </c>
      <c r="I196">
        <v>0</v>
      </c>
      <c r="J196" t="s">
        <v>200</v>
      </c>
      <c r="K196" s="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1CEA-1ECD-AD45-8C88-B3FFEF6C27F6}">
  <dimension ref="A1:K41"/>
  <sheetViews>
    <sheetView workbookViewId="0">
      <selection activeCell="K2" sqref="K2:K41"/>
    </sheetView>
  </sheetViews>
  <sheetFormatPr baseColWidth="10" defaultRowHeight="16"/>
  <cols>
    <col min="1" max="1" width="14.5" bestFit="1" customWidth="1"/>
    <col min="2" max="2" width="15.5" bestFit="1" customWidth="1"/>
    <col min="3" max="3" width="13.83203125" customWidth="1"/>
    <col min="4" max="4" width="18.6640625" customWidth="1"/>
    <col min="6" max="6" width="19.5" bestFit="1" customWidth="1"/>
    <col min="7" max="7" width="17" customWidth="1"/>
    <col min="8" max="8" width="17.1640625" customWidth="1"/>
    <col min="10" max="10" width="14" customWidth="1"/>
    <col min="11" max="11" width="15.83203125" customWidth="1"/>
  </cols>
  <sheetData>
    <row r="1" spans="1:11">
      <c r="A1" t="s">
        <v>0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86</v>
      </c>
      <c r="H1" t="s">
        <v>221</v>
      </c>
      <c r="I1" t="s">
        <v>222</v>
      </c>
      <c r="J1" t="s">
        <v>13</v>
      </c>
      <c r="K1" t="s">
        <v>223</v>
      </c>
    </row>
    <row r="2" spans="1:11">
      <c r="A2" t="s">
        <v>14</v>
      </c>
      <c r="B2">
        <v>734747593</v>
      </c>
      <c r="C2">
        <v>2093733</v>
      </c>
      <c r="D2" s="4">
        <v>39441</v>
      </c>
      <c r="G2" t="s">
        <v>224</v>
      </c>
      <c r="H2">
        <v>12209</v>
      </c>
      <c r="J2">
        <v>12209</v>
      </c>
    </row>
    <row r="3" spans="1:11">
      <c r="A3" t="s">
        <v>14</v>
      </c>
      <c r="B3">
        <v>734747593</v>
      </c>
      <c r="C3">
        <v>2093733</v>
      </c>
      <c r="D3" s="4">
        <v>39624</v>
      </c>
      <c r="G3" t="s">
        <v>224</v>
      </c>
      <c r="H3">
        <v>12209</v>
      </c>
      <c r="J3">
        <v>12209</v>
      </c>
    </row>
    <row r="4" spans="1:11">
      <c r="A4" t="s">
        <v>14</v>
      </c>
      <c r="B4">
        <v>734747593</v>
      </c>
      <c r="C4">
        <v>2093733</v>
      </c>
      <c r="D4" s="4">
        <v>39807</v>
      </c>
      <c r="G4" t="s">
        <v>224</v>
      </c>
      <c r="H4">
        <v>12209</v>
      </c>
      <c r="J4">
        <v>12209</v>
      </c>
    </row>
    <row r="5" spans="1:11">
      <c r="A5" t="s">
        <v>14</v>
      </c>
      <c r="B5">
        <v>734747593</v>
      </c>
      <c r="C5">
        <v>2093733</v>
      </c>
      <c r="D5" s="4">
        <v>39989</v>
      </c>
      <c r="G5" t="s">
        <v>224</v>
      </c>
      <c r="H5">
        <v>12209</v>
      </c>
      <c r="J5">
        <v>12209</v>
      </c>
    </row>
    <row r="6" spans="1:11">
      <c r="A6" t="s">
        <v>14</v>
      </c>
      <c r="B6">
        <v>734747593</v>
      </c>
      <c r="C6">
        <v>2093733</v>
      </c>
      <c r="D6" s="4">
        <v>40172</v>
      </c>
      <c r="G6" t="s">
        <v>224</v>
      </c>
      <c r="H6">
        <v>12209</v>
      </c>
      <c r="J6">
        <v>12209</v>
      </c>
    </row>
    <row r="7" spans="1:11">
      <c r="A7" t="s">
        <v>14</v>
      </c>
      <c r="B7">
        <v>734747593</v>
      </c>
      <c r="C7">
        <v>2093733</v>
      </c>
      <c r="D7" s="4">
        <v>40354</v>
      </c>
      <c r="E7" s="4">
        <v>40478</v>
      </c>
      <c r="F7" t="s">
        <v>225</v>
      </c>
      <c r="G7" t="s">
        <v>224</v>
      </c>
      <c r="H7">
        <v>12209</v>
      </c>
      <c r="I7">
        <v>325.60000000000002</v>
      </c>
      <c r="J7">
        <v>12534.6</v>
      </c>
    </row>
    <row r="8" spans="1:11">
      <c r="A8" t="s">
        <v>14</v>
      </c>
      <c r="B8">
        <v>734747593</v>
      </c>
      <c r="C8">
        <v>2093733</v>
      </c>
      <c r="D8" s="4">
        <v>40537</v>
      </c>
      <c r="E8" s="4">
        <v>40540</v>
      </c>
      <c r="F8" t="s">
        <v>226</v>
      </c>
      <c r="G8" t="s">
        <v>224</v>
      </c>
      <c r="H8">
        <v>12209</v>
      </c>
      <c r="I8">
        <v>0</v>
      </c>
      <c r="J8">
        <v>12209</v>
      </c>
    </row>
    <row r="9" spans="1:11">
      <c r="A9" t="s">
        <v>14</v>
      </c>
      <c r="B9">
        <v>734747593</v>
      </c>
      <c r="C9">
        <v>2093733</v>
      </c>
      <c r="D9" s="4">
        <v>40719</v>
      </c>
      <c r="E9" s="4">
        <v>40724</v>
      </c>
      <c r="F9" t="s">
        <v>227</v>
      </c>
      <c r="G9" t="s">
        <v>224</v>
      </c>
      <c r="H9">
        <v>12209</v>
      </c>
      <c r="I9">
        <v>0</v>
      </c>
      <c r="J9">
        <v>12209</v>
      </c>
    </row>
    <row r="10" spans="1:11">
      <c r="A10" t="s">
        <v>14</v>
      </c>
      <c r="B10">
        <v>734747593</v>
      </c>
      <c r="D10" s="4">
        <v>40858</v>
      </c>
      <c r="E10" s="4">
        <v>40858</v>
      </c>
      <c r="G10" t="s">
        <v>228</v>
      </c>
      <c r="K10">
        <v>70000</v>
      </c>
    </row>
    <row r="11" spans="1:11">
      <c r="A11" t="s">
        <v>14</v>
      </c>
      <c r="B11">
        <v>734747593</v>
      </c>
      <c r="C11">
        <v>2093733</v>
      </c>
      <c r="D11" s="4">
        <v>40902</v>
      </c>
      <c r="E11" s="4">
        <v>40919</v>
      </c>
      <c r="F11" t="s">
        <v>229</v>
      </c>
      <c r="G11" t="s">
        <v>224</v>
      </c>
      <c r="H11">
        <v>12209</v>
      </c>
      <c r="I11">
        <v>0</v>
      </c>
      <c r="J11">
        <v>12209</v>
      </c>
    </row>
    <row r="12" spans="1:11">
      <c r="A12" t="s">
        <v>14</v>
      </c>
      <c r="B12">
        <v>734747593</v>
      </c>
      <c r="C12">
        <v>2093733</v>
      </c>
      <c r="D12" s="4">
        <v>41085</v>
      </c>
      <c r="E12" s="4">
        <v>41162</v>
      </c>
      <c r="F12" t="s">
        <v>230</v>
      </c>
      <c r="G12" t="s">
        <v>224</v>
      </c>
      <c r="H12">
        <v>12209</v>
      </c>
      <c r="I12">
        <v>290</v>
      </c>
      <c r="J12">
        <v>12499</v>
      </c>
    </row>
    <row r="13" spans="1:11">
      <c r="A13" t="s">
        <v>14</v>
      </c>
      <c r="B13">
        <v>734747593</v>
      </c>
      <c r="C13">
        <v>2093733</v>
      </c>
      <c r="D13" s="4">
        <v>41268</v>
      </c>
      <c r="E13" s="4">
        <v>41318</v>
      </c>
      <c r="F13" t="s">
        <v>231</v>
      </c>
      <c r="G13" t="s">
        <v>224</v>
      </c>
      <c r="H13">
        <v>12209</v>
      </c>
      <c r="I13">
        <v>193.3</v>
      </c>
      <c r="J13">
        <v>12402.3</v>
      </c>
    </row>
    <row r="14" spans="1:11">
      <c r="A14" t="s">
        <v>14</v>
      </c>
      <c r="B14">
        <v>734747593</v>
      </c>
      <c r="C14">
        <v>2093733</v>
      </c>
      <c r="D14" s="4">
        <v>41450</v>
      </c>
      <c r="E14" s="4">
        <v>41486</v>
      </c>
      <c r="F14" t="s">
        <v>232</v>
      </c>
      <c r="G14" t="s">
        <v>224</v>
      </c>
      <c r="H14">
        <v>12209</v>
      </c>
      <c r="I14">
        <v>96.7</v>
      </c>
      <c r="J14">
        <v>12305.7</v>
      </c>
    </row>
    <row r="15" spans="1:11">
      <c r="A15" t="s">
        <v>14</v>
      </c>
      <c r="B15">
        <v>734747593</v>
      </c>
      <c r="C15">
        <v>2093733</v>
      </c>
      <c r="D15" s="4">
        <v>41633</v>
      </c>
      <c r="E15" s="4">
        <v>41647</v>
      </c>
      <c r="F15" t="s">
        <v>233</v>
      </c>
      <c r="G15" t="s">
        <v>224</v>
      </c>
      <c r="H15">
        <v>12209</v>
      </c>
      <c r="I15">
        <v>0</v>
      </c>
      <c r="J15">
        <v>12209</v>
      </c>
    </row>
    <row r="16" spans="1:11">
      <c r="A16" t="s">
        <v>14</v>
      </c>
      <c r="B16">
        <v>734747593</v>
      </c>
      <c r="C16">
        <v>2093733</v>
      </c>
      <c r="D16" s="4">
        <v>41815</v>
      </c>
      <c r="E16" s="4">
        <v>41830</v>
      </c>
      <c r="F16" t="s">
        <v>234</v>
      </c>
      <c r="G16" t="s">
        <v>224</v>
      </c>
      <c r="H16">
        <v>12209</v>
      </c>
      <c r="I16">
        <v>0</v>
      </c>
      <c r="J16">
        <v>12209</v>
      </c>
    </row>
    <row r="17" spans="1:11">
      <c r="A17" t="s">
        <v>14</v>
      </c>
      <c r="B17">
        <v>734747593</v>
      </c>
      <c r="C17">
        <v>2093733</v>
      </c>
      <c r="D17" s="4">
        <v>41998</v>
      </c>
      <c r="E17" s="4">
        <v>41990</v>
      </c>
      <c r="F17" t="s">
        <v>235</v>
      </c>
      <c r="G17" t="s">
        <v>224</v>
      </c>
      <c r="H17">
        <v>12209</v>
      </c>
      <c r="I17">
        <v>0</v>
      </c>
      <c r="J17">
        <v>12209</v>
      </c>
    </row>
    <row r="18" spans="1:11">
      <c r="A18" t="s">
        <v>14</v>
      </c>
      <c r="B18">
        <v>734747593</v>
      </c>
      <c r="C18">
        <v>2093733</v>
      </c>
      <c r="D18" s="4">
        <v>42180</v>
      </c>
      <c r="E18" s="4">
        <v>42207</v>
      </c>
      <c r="F18" t="s">
        <v>236</v>
      </c>
      <c r="G18" t="s">
        <v>224</v>
      </c>
      <c r="H18">
        <v>12209</v>
      </c>
      <c r="I18">
        <v>0</v>
      </c>
      <c r="J18">
        <v>12209</v>
      </c>
    </row>
    <row r="19" spans="1:11">
      <c r="A19" t="s">
        <v>14</v>
      </c>
      <c r="B19">
        <v>734747593</v>
      </c>
      <c r="D19" s="4">
        <v>42326</v>
      </c>
      <c r="E19" s="4">
        <v>42326</v>
      </c>
      <c r="G19" t="s">
        <v>228</v>
      </c>
      <c r="K19">
        <v>70000</v>
      </c>
    </row>
    <row r="20" spans="1:11">
      <c r="A20" t="s">
        <v>14</v>
      </c>
      <c r="B20">
        <v>734747593</v>
      </c>
      <c r="C20">
        <v>2093733</v>
      </c>
      <c r="D20" s="4">
        <v>42363</v>
      </c>
      <c r="E20" s="4">
        <v>42457</v>
      </c>
      <c r="F20" t="s">
        <v>237</v>
      </c>
      <c r="G20" t="s">
        <v>224</v>
      </c>
      <c r="H20">
        <v>12209</v>
      </c>
      <c r="I20">
        <v>290</v>
      </c>
      <c r="J20">
        <v>12499</v>
      </c>
    </row>
    <row r="21" spans="1:11">
      <c r="A21" t="s">
        <v>14</v>
      </c>
      <c r="B21">
        <v>734747593</v>
      </c>
      <c r="C21">
        <v>2093733</v>
      </c>
      <c r="D21" s="4">
        <v>42546</v>
      </c>
      <c r="E21" s="4">
        <v>42648</v>
      </c>
      <c r="F21" t="s">
        <v>238</v>
      </c>
      <c r="G21" t="s">
        <v>224</v>
      </c>
      <c r="H21">
        <v>12209</v>
      </c>
      <c r="I21">
        <v>290</v>
      </c>
      <c r="J21">
        <v>12499</v>
      </c>
    </row>
    <row r="22" spans="1:11">
      <c r="A22" t="s">
        <v>14</v>
      </c>
      <c r="B22">
        <v>734747593</v>
      </c>
      <c r="C22">
        <v>2093733</v>
      </c>
      <c r="D22" s="4">
        <v>42729</v>
      </c>
      <c r="G22" t="s">
        <v>224</v>
      </c>
      <c r="H22">
        <v>12209</v>
      </c>
      <c r="I22">
        <v>0</v>
      </c>
      <c r="J22">
        <v>12209</v>
      </c>
    </row>
    <row r="23" spans="1:11">
      <c r="A23" t="s">
        <v>14</v>
      </c>
      <c r="B23">
        <v>734747593</v>
      </c>
      <c r="C23">
        <v>2093733</v>
      </c>
      <c r="D23" s="4">
        <v>42911</v>
      </c>
      <c r="E23" s="4">
        <v>42948</v>
      </c>
      <c r="F23" t="s">
        <v>239</v>
      </c>
      <c r="G23" t="s">
        <v>224</v>
      </c>
      <c r="H23">
        <v>12209</v>
      </c>
      <c r="I23">
        <v>96.7</v>
      </c>
      <c r="J23">
        <v>12305.7</v>
      </c>
    </row>
    <row r="24" spans="1:11">
      <c r="A24" t="s">
        <v>14</v>
      </c>
      <c r="B24">
        <v>734747593</v>
      </c>
      <c r="C24">
        <v>2093733</v>
      </c>
      <c r="D24" s="4">
        <v>43094</v>
      </c>
      <c r="E24" s="4">
        <v>43137</v>
      </c>
      <c r="F24" t="s">
        <v>240</v>
      </c>
      <c r="G24" t="s">
        <v>224</v>
      </c>
      <c r="H24">
        <v>12209</v>
      </c>
      <c r="I24">
        <v>96.7</v>
      </c>
      <c r="J24">
        <v>12305.7</v>
      </c>
    </row>
    <row r="25" spans="1:11">
      <c r="A25" t="s">
        <v>14</v>
      </c>
      <c r="B25">
        <v>734747593</v>
      </c>
      <c r="C25">
        <v>2093733</v>
      </c>
      <c r="D25" s="4">
        <v>43276</v>
      </c>
      <c r="E25" s="4">
        <v>43308</v>
      </c>
      <c r="F25" t="s">
        <v>241</v>
      </c>
      <c r="G25" t="s">
        <v>224</v>
      </c>
      <c r="H25">
        <v>12209</v>
      </c>
      <c r="I25">
        <v>96.7</v>
      </c>
      <c r="J25">
        <v>12305.7</v>
      </c>
    </row>
    <row r="26" spans="1:11">
      <c r="A26" t="s">
        <v>14</v>
      </c>
      <c r="B26">
        <v>734747593</v>
      </c>
      <c r="C26">
        <v>2093733</v>
      </c>
      <c r="D26" s="4">
        <v>43459</v>
      </c>
      <c r="E26" s="4">
        <v>43468</v>
      </c>
      <c r="F26" t="s">
        <v>242</v>
      </c>
      <c r="G26" t="s">
        <v>224</v>
      </c>
      <c r="H26">
        <v>12209</v>
      </c>
      <c r="I26">
        <v>0</v>
      </c>
      <c r="J26">
        <v>12209</v>
      </c>
    </row>
    <row r="27" spans="1:11">
      <c r="A27" t="s">
        <v>14</v>
      </c>
      <c r="B27">
        <v>734747593</v>
      </c>
      <c r="C27">
        <v>2093733</v>
      </c>
      <c r="D27" s="4">
        <v>43641</v>
      </c>
      <c r="E27" s="4">
        <v>43654</v>
      </c>
      <c r="F27" t="s">
        <v>243</v>
      </c>
      <c r="G27" t="s">
        <v>224</v>
      </c>
      <c r="H27">
        <v>12209</v>
      </c>
      <c r="I27">
        <v>0</v>
      </c>
      <c r="J27">
        <v>12209</v>
      </c>
    </row>
    <row r="28" spans="1:11">
      <c r="A28" t="s">
        <v>14</v>
      </c>
      <c r="B28">
        <v>734747593</v>
      </c>
      <c r="D28" s="4">
        <v>43780</v>
      </c>
      <c r="E28" s="4">
        <v>43780</v>
      </c>
      <c r="G28" t="s">
        <v>228</v>
      </c>
      <c r="K28">
        <v>70000</v>
      </c>
    </row>
    <row r="29" spans="1:11">
      <c r="A29" t="s">
        <v>14</v>
      </c>
      <c r="B29">
        <v>734747593</v>
      </c>
      <c r="C29">
        <v>2093733</v>
      </c>
      <c r="D29" s="4">
        <v>43824</v>
      </c>
      <c r="E29" s="4">
        <v>43839</v>
      </c>
      <c r="F29" t="s">
        <v>244</v>
      </c>
      <c r="G29" t="s">
        <v>224</v>
      </c>
      <c r="H29">
        <v>12209</v>
      </c>
      <c r="I29">
        <v>0</v>
      </c>
      <c r="J29">
        <v>12209</v>
      </c>
    </row>
    <row r="30" spans="1:11">
      <c r="A30" t="s">
        <v>14</v>
      </c>
      <c r="B30">
        <v>734747593</v>
      </c>
      <c r="C30">
        <v>2093733</v>
      </c>
      <c r="D30" s="4">
        <v>44007</v>
      </c>
      <c r="E30" s="4">
        <v>44008</v>
      </c>
      <c r="G30" t="s">
        <v>224</v>
      </c>
      <c r="H30">
        <v>12209</v>
      </c>
      <c r="I30">
        <v>0</v>
      </c>
      <c r="J30">
        <v>12209</v>
      </c>
    </row>
    <row r="31" spans="1:11">
      <c r="A31" t="s">
        <v>14</v>
      </c>
      <c r="B31">
        <v>734747593</v>
      </c>
      <c r="C31">
        <v>2093733</v>
      </c>
      <c r="D31" s="4">
        <v>44190</v>
      </c>
      <c r="E31" s="4">
        <v>44228</v>
      </c>
      <c r="F31" t="s">
        <v>245</v>
      </c>
      <c r="G31" t="s">
        <v>224</v>
      </c>
      <c r="H31">
        <v>12209</v>
      </c>
      <c r="I31">
        <v>77.36</v>
      </c>
      <c r="J31">
        <v>12286.36</v>
      </c>
    </row>
    <row r="32" spans="1:11">
      <c r="A32" t="s">
        <v>14</v>
      </c>
      <c r="B32">
        <v>734747593</v>
      </c>
      <c r="C32">
        <v>2093733</v>
      </c>
      <c r="D32" s="4">
        <v>44372</v>
      </c>
      <c r="E32" s="4">
        <v>44355</v>
      </c>
      <c r="F32" t="s">
        <v>246</v>
      </c>
      <c r="G32" t="s">
        <v>224</v>
      </c>
      <c r="H32">
        <v>12209</v>
      </c>
      <c r="I32">
        <v>0</v>
      </c>
      <c r="J32">
        <v>12209</v>
      </c>
    </row>
    <row r="33" spans="1:11">
      <c r="A33" t="s">
        <v>14</v>
      </c>
      <c r="B33">
        <v>734747593</v>
      </c>
      <c r="C33">
        <v>2093733</v>
      </c>
      <c r="D33" s="4">
        <v>44555</v>
      </c>
      <c r="E33" s="4">
        <v>44590</v>
      </c>
      <c r="F33" t="s">
        <v>247</v>
      </c>
      <c r="G33" t="s">
        <v>224</v>
      </c>
      <c r="H33">
        <v>12209</v>
      </c>
      <c r="I33">
        <v>96.7</v>
      </c>
      <c r="J33">
        <v>12305.7</v>
      </c>
    </row>
    <row r="34" spans="1:11">
      <c r="A34" t="s">
        <v>14</v>
      </c>
      <c r="B34">
        <v>734747593</v>
      </c>
      <c r="C34">
        <v>2093733</v>
      </c>
      <c r="D34" s="4">
        <v>44737</v>
      </c>
      <c r="E34" s="4">
        <v>44764</v>
      </c>
      <c r="F34" t="s">
        <v>248</v>
      </c>
      <c r="G34" t="s">
        <v>224</v>
      </c>
      <c r="H34">
        <v>12209</v>
      </c>
      <c r="I34">
        <v>0</v>
      </c>
      <c r="J34">
        <v>12209</v>
      </c>
    </row>
    <row r="35" spans="1:11">
      <c r="A35" t="s">
        <v>14</v>
      </c>
      <c r="B35">
        <v>734747593</v>
      </c>
      <c r="C35">
        <v>2093733</v>
      </c>
      <c r="D35" s="4">
        <v>44920</v>
      </c>
      <c r="E35" s="4">
        <v>44936</v>
      </c>
      <c r="F35" t="s">
        <v>249</v>
      </c>
      <c r="G35" t="s">
        <v>224</v>
      </c>
      <c r="H35">
        <v>12209</v>
      </c>
      <c r="I35">
        <v>0</v>
      </c>
      <c r="J35">
        <v>12209</v>
      </c>
    </row>
    <row r="36" spans="1:11">
      <c r="A36" t="s">
        <v>14</v>
      </c>
      <c r="B36">
        <v>734747593</v>
      </c>
      <c r="C36">
        <v>2093733</v>
      </c>
      <c r="D36" s="4">
        <v>45102</v>
      </c>
      <c r="E36" s="4">
        <v>45141</v>
      </c>
      <c r="F36" t="s">
        <v>250</v>
      </c>
      <c r="G36" t="s">
        <v>224</v>
      </c>
      <c r="H36">
        <v>12209</v>
      </c>
      <c r="I36">
        <v>96.7</v>
      </c>
      <c r="J36">
        <v>12305.7</v>
      </c>
    </row>
    <row r="37" spans="1:11">
      <c r="A37" t="s">
        <v>14</v>
      </c>
      <c r="B37">
        <v>734747593</v>
      </c>
      <c r="D37" s="4">
        <v>45196</v>
      </c>
      <c r="E37" s="4">
        <v>45196</v>
      </c>
      <c r="G37" t="s">
        <v>228</v>
      </c>
      <c r="K37">
        <v>70000</v>
      </c>
    </row>
    <row r="38" spans="1:11">
      <c r="A38" t="s">
        <v>14</v>
      </c>
      <c r="B38">
        <v>734747593</v>
      </c>
      <c r="C38">
        <v>2093733</v>
      </c>
      <c r="D38" s="4">
        <v>45285</v>
      </c>
      <c r="E38" s="4">
        <v>45299</v>
      </c>
      <c r="F38" t="s">
        <v>251</v>
      </c>
      <c r="G38" t="s">
        <v>224</v>
      </c>
      <c r="H38">
        <v>12209</v>
      </c>
      <c r="I38">
        <v>0</v>
      </c>
      <c r="J38">
        <v>12209</v>
      </c>
    </row>
    <row r="39" spans="1:11">
      <c r="A39" t="s">
        <v>14</v>
      </c>
      <c r="B39">
        <v>734747593</v>
      </c>
      <c r="C39">
        <v>2093733</v>
      </c>
      <c r="D39" s="4">
        <v>45468</v>
      </c>
      <c r="E39" s="4">
        <v>45651</v>
      </c>
      <c r="F39" t="s">
        <v>252</v>
      </c>
      <c r="G39" t="s">
        <v>224</v>
      </c>
      <c r="H39">
        <v>12209</v>
      </c>
      <c r="I39">
        <v>580</v>
      </c>
      <c r="J39">
        <v>12789</v>
      </c>
    </row>
    <row r="40" spans="1:11">
      <c r="A40" t="s">
        <v>14</v>
      </c>
      <c r="B40">
        <v>734747593</v>
      </c>
      <c r="C40">
        <v>2093733</v>
      </c>
      <c r="D40" s="4">
        <v>45651</v>
      </c>
      <c r="E40" s="4">
        <v>45651</v>
      </c>
      <c r="F40" t="s">
        <v>252</v>
      </c>
      <c r="G40" t="s">
        <v>224</v>
      </c>
      <c r="H40">
        <v>12209</v>
      </c>
      <c r="I40">
        <v>0</v>
      </c>
      <c r="J40">
        <v>12209</v>
      </c>
    </row>
    <row r="41" spans="1:11">
      <c r="A41" t="s">
        <v>14</v>
      </c>
      <c r="B41">
        <v>734747593</v>
      </c>
      <c r="C41">
        <v>2093733</v>
      </c>
      <c r="D41" s="4">
        <v>45833</v>
      </c>
      <c r="E41" s="4">
        <v>45580</v>
      </c>
      <c r="F41" t="s">
        <v>253</v>
      </c>
      <c r="G41" t="s">
        <v>224</v>
      </c>
      <c r="H41">
        <v>12209</v>
      </c>
      <c r="I41">
        <v>270</v>
      </c>
      <c r="J41">
        <v>12479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17E5-9737-064C-9940-E5393723E816}">
  <dimension ref="A1:M235"/>
  <sheetViews>
    <sheetView workbookViewId="0">
      <selection activeCell="K1" sqref="K1:M1"/>
    </sheetView>
  </sheetViews>
  <sheetFormatPr baseColWidth="10" defaultRowHeight="16"/>
  <cols>
    <col min="1" max="1" width="22.83203125" bestFit="1" customWidth="1"/>
    <col min="3" max="3" width="48.1640625" bestFit="1" customWidth="1"/>
    <col min="4" max="4" width="24.83203125" bestFit="1" customWidth="1"/>
    <col min="6" max="6" width="17" customWidth="1"/>
    <col min="7" max="7" width="8.5" bestFit="1" customWidth="1"/>
    <col min="8" max="8" width="24.83203125" bestFit="1" customWidth="1"/>
    <col min="10" max="10" width="13.83203125" customWidth="1"/>
    <col min="11" max="11" width="14.6640625" customWidth="1"/>
    <col min="12" max="12" width="14.33203125" customWidth="1"/>
    <col min="13" max="13" width="9.83203125" customWidth="1"/>
  </cols>
  <sheetData>
    <row r="1" spans="1:13">
      <c r="A1" t="s">
        <v>0</v>
      </c>
      <c r="B1" t="s">
        <v>256</v>
      </c>
      <c r="C1" t="s">
        <v>254</v>
      </c>
      <c r="D1" t="s">
        <v>255</v>
      </c>
      <c r="E1" t="s">
        <v>257</v>
      </c>
      <c r="F1" t="s">
        <v>86</v>
      </c>
      <c r="G1" t="s">
        <v>84</v>
      </c>
      <c r="H1" t="s">
        <v>259</v>
      </c>
      <c r="I1" t="s">
        <v>260</v>
      </c>
      <c r="J1" t="s">
        <v>224</v>
      </c>
      <c r="K1" t="s">
        <v>421</v>
      </c>
      <c r="L1" t="s">
        <v>422</v>
      </c>
      <c r="M1" t="s">
        <v>418</v>
      </c>
    </row>
    <row r="2" spans="1:13" hidden="1">
      <c r="A2" t="s">
        <v>82</v>
      </c>
      <c r="B2" s="26" t="s">
        <v>426</v>
      </c>
      <c r="C2" t="s">
        <v>419</v>
      </c>
      <c r="D2" t="s">
        <v>344</v>
      </c>
      <c r="E2">
        <v>2013</v>
      </c>
      <c r="F2" t="s">
        <v>224</v>
      </c>
      <c r="G2" s="4">
        <v>41479</v>
      </c>
      <c r="H2" t="s">
        <v>345</v>
      </c>
      <c r="I2">
        <v>3241</v>
      </c>
      <c r="J2">
        <v>3241</v>
      </c>
      <c r="K2">
        <v>389</v>
      </c>
      <c r="L2">
        <v>119</v>
      </c>
      <c r="M2">
        <v>270</v>
      </c>
    </row>
    <row r="3" spans="1:13" hidden="1">
      <c r="A3" t="s">
        <v>82</v>
      </c>
      <c r="B3" s="26" t="s">
        <v>426</v>
      </c>
      <c r="C3" t="s">
        <v>419</v>
      </c>
      <c r="D3" t="s">
        <v>344</v>
      </c>
      <c r="E3">
        <v>2013</v>
      </c>
      <c r="F3" t="s">
        <v>224</v>
      </c>
      <c r="G3" s="4">
        <v>41520</v>
      </c>
      <c r="H3" t="s">
        <v>346</v>
      </c>
      <c r="I3">
        <v>4476</v>
      </c>
      <c r="J3">
        <v>4476</v>
      </c>
      <c r="K3">
        <v>537</v>
      </c>
      <c r="L3">
        <v>164</v>
      </c>
      <c r="M3">
        <v>373</v>
      </c>
    </row>
    <row r="4" spans="1:13" hidden="1">
      <c r="A4" t="s">
        <v>82</v>
      </c>
      <c r="B4" s="26" t="s">
        <v>426</v>
      </c>
      <c r="C4" t="s">
        <v>419</v>
      </c>
      <c r="D4" t="s">
        <v>344</v>
      </c>
      <c r="E4">
        <v>2013</v>
      </c>
      <c r="F4" t="s">
        <v>224</v>
      </c>
      <c r="G4" s="4">
        <v>41540</v>
      </c>
      <c r="H4" t="s">
        <v>347</v>
      </c>
      <c r="I4">
        <v>4630</v>
      </c>
      <c r="J4">
        <v>4630</v>
      </c>
      <c r="K4">
        <v>556</v>
      </c>
      <c r="L4">
        <v>170</v>
      </c>
      <c r="M4">
        <v>386</v>
      </c>
    </row>
    <row r="5" spans="1:13" hidden="1">
      <c r="A5" t="s">
        <v>82</v>
      </c>
      <c r="B5" s="26" t="s">
        <v>426</v>
      </c>
      <c r="C5" t="s">
        <v>419</v>
      </c>
      <c r="D5" t="s">
        <v>344</v>
      </c>
      <c r="E5">
        <v>2013</v>
      </c>
      <c r="F5" t="s">
        <v>224</v>
      </c>
      <c r="G5" s="4">
        <v>41571</v>
      </c>
      <c r="H5" t="s">
        <v>348</v>
      </c>
      <c r="I5">
        <v>4321</v>
      </c>
      <c r="J5">
        <v>4321</v>
      </c>
      <c r="K5">
        <v>519</v>
      </c>
      <c r="L5">
        <v>159</v>
      </c>
      <c r="M5">
        <v>360</v>
      </c>
    </row>
    <row r="6" spans="1:13" hidden="1">
      <c r="A6" t="s">
        <v>82</v>
      </c>
      <c r="B6" s="26" t="s">
        <v>426</v>
      </c>
      <c r="C6" t="s">
        <v>419</v>
      </c>
      <c r="D6" t="s">
        <v>344</v>
      </c>
      <c r="E6">
        <v>2013</v>
      </c>
      <c r="F6" t="s">
        <v>224</v>
      </c>
      <c r="G6" s="4">
        <v>41613</v>
      </c>
      <c r="H6" t="s">
        <v>349</v>
      </c>
      <c r="I6">
        <v>4630</v>
      </c>
      <c r="J6">
        <v>4630</v>
      </c>
      <c r="K6">
        <v>556</v>
      </c>
      <c r="L6">
        <v>170</v>
      </c>
      <c r="M6">
        <v>386</v>
      </c>
    </row>
    <row r="7" spans="1:13" hidden="1">
      <c r="A7" t="s">
        <v>82</v>
      </c>
      <c r="B7" s="26" t="s">
        <v>426</v>
      </c>
      <c r="C7" t="s">
        <v>419</v>
      </c>
      <c r="D7" t="s">
        <v>344</v>
      </c>
      <c r="E7">
        <v>2013</v>
      </c>
      <c r="F7" t="s">
        <v>224</v>
      </c>
      <c r="G7" s="4">
        <v>41634</v>
      </c>
      <c r="H7" t="s">
        <v>350</v>
      </c>
      <c r="I7">
        <v>4630</v>
      </c>
      <c r="J7">
        <v>4630</v>
      </c>
      <c r="K7">
        <v>556</v>
      </c>
      <c r="L7">
        <v>170</v>
      </c>
      <c r="M7">
        <v>386</v>
      </c>
    </row>
    <row r="8" spans="1:13" hidden="1">
      <c r="A8" t="s">
        <v>82</v>
      </c>
      <c r="B8" s="26" t="s">
        <v>426</v>
      </c>
      <c r="C8" t="s">
        <v>419</v>
      </c>
      <c r="D8" t="s">
        <v>344</v>
      </c>
      <c r="E8">
        <v>2013</v>
      </c>
      <c r="F8" t="s">
        <v>224</v>
      </c>
      <c r="G8" s="4">
        <v>41662</v>
      </c>
      <c r="H8" t="s">
        <v>351</v>
      </c>
      <c r="I8">
        <v>4630</v>
      </c>
      <c r="J8">
        <v>4630</v>
      </c>
      <c r="K8">
        <v>556</v>
      </c>
      <c r="L8">
        <v>170</v>
      </c>
      <c r="M8">
        <v>386</v>
      </c>
    </row>
    <row r="9" spans="1:13" hidden="1">
      <c r="A9" t="s">
        <v>82</v>
      </c>
      <c r="B9" s="26" t="s">
        <v>426</v>
      </c>
      <c r="C9" t="s">
        <v>419</v>
      </c>
      <c r="D9" t="s">
        <v>344</v>
      </c>
      <c r="E9">
        <v>2013</v>
      </c>
      <c r="F9" t="s">
        <v>224</v>
      </c>
      <c r="G9" s="4">
        <v>41705</v>
      </c>
      <c r="H9" t="s">
        <v>352</v>
      </c>
      <c r="I9">
        <v>5324</v>
      </c>
      <c r="J9">
        <v>5324</v>
      </c>
      <c r="K9">
        <v>639</v>
      </c>
      <c r="L9">
        <v>196</v>
      </c>
      <c r="M9">
        <v>443</v>
      </c>
    </row>
    <row r="10" spans="1:13" hidden="1">
      <c r="A10" t="s">
        <v>82</v>
      </c>
      <c r="B10" s="26" t="s">
        <v>426</v>
      </c>
      <c r="C10" t="s">
        <v>419</v>
      </c>
      <c r="D10" t="s">
        <v>344</v>
      </c>
      <c r="E10">
        <v>2013</v>
      </c>
      <c r="F10" t="s">
        <v>224</v>
      </c>
      <c r="G10" s="4">
        <v>41723</v>
      </c>
      <c r="H10" t="s">
        <v>353</v>
      </c>
      <c r="I10">
        <v>5324</v>
      </c>
      <c r="J10">
        <v>5324</v>
      </c>
      <c r="K10">
        <v>639</v>
      </c>
      <c r="L10">
        <v>196</v>
      </c>
      <c r="M10">
        <v>443</v>
      </c>
    </row>
    <row r="11" spans="1:13">
      <c r="A11" t="s">
        <v>82</v>
      </c>
      <c r="B11" s="26" t="s">
        <v>426</v>
      </c>
      <c r="C11" t="s">
        <v>419</v>
      </c>
      <c r="D11" t="s">
        <v>344</v>
      </c>
      <c r="E11">
        <v>2013</v>
      </c>
      <c r="F11" t="s">
        <v>267</v>
      </c>
      <c r="G11" s="4">
        <v>41729</v>
      </c>
      <c r="H11" t="s">
        <v>268</v>
      </c>
      <c r="K11">
        <v>134</v>
      </c>
      <c r="L11">
        <v>41</v>
      </c>
      <c r="M11">
        <v>0</v>
      </c>
    </row>
    <row r="12" spans="1:13" hidden="1">
      <c r="A12" t="s">
        <v>82</v>
      </c>
      <c r="B12" s="26" t="s">
        <v>426</v>
      </c>
      <c r="C12" t="s">
        <v>419</v>
      </c>
      <c r="D12" t="s">
        <v>344</v>
      </c>
      <c r="E12">
        <v>2013</v>
      </c>
      <c r="F12" t="s">
        <v>269</v>
      </c>
      <c r="G12" s="4">
        <v>41729</v>
      </c>
      <c r="H12" t="s">
        <v>269</v>
      </c>
      <c r="K12">
        <v>5081</v>
      </c>
      <c r="L12">
        <v>1555</v>
      </c>
      <c r="M12">
        <v>3433</v>
      </c>
    </row>
    <row r="13" spans="1:13" hidden="1">
      <c r="A13" t="s">
        <v>82</v>
      </c>
      <c r="B13" s="26" t="s">
        <v>426</v>
      </c>
      <c r="C13" t="s">
        <v>419</v>
      </c>
      <c r="D13" t="s">
        <v>344</v>
      </c>
      <c r="E13">
        <v>2014</v>
      </c>
      <c r="F13" t="s">
        <v>224</v>
      </c>
      <c r="G13" s="4">
        <v>41758</v>
      </c>
      <c r="H13" t="s">
        <v>354</v>
      </c>
      <c r="I13">
        <v>5324</v>
      </c>
      <c r="J13">
        <v>5324</v>
      </c>
      <c r="K13">
        <v>639</v>
      </c>
      <c r="L13">
        <v>196</v>
      </c>
      <c r="M13">
        <v>443</v>
      </c>
    </row>
    <row r="14" spans="1:13" hidden="1">
      <c r="A14" t="s">
        <v>82</v>
      </c>
      <c r="B14" s="26" t="s">
        <v>426</v>
      </c>
      <c r="C14" t="s">
        <v>419</v>
      </c>
      <c r="D14" t="s">
        <v>344</v>
      </c>
      <c r="E14">
        <v>2014</v>
      </c>
      <c r="F14" t="s">
        <v>224</v>
      </c>
      <c r="G14" s="4">
        <v>41779</v>
      </c>
      <c r="H14" t="s">
        <v>355</v>
      </c>
      <c r="I14">
        <v>5324</v>
      </c>
      <c r="J14">
        <v>5324</v>
      </c>
      <c r="K14">
        <v>639</v>
      </c>
      <c r="L14">
        <v>196</v>
      </c>
      <c r="M14">
        <v>443</v>
      </c>
    </row>
    <row r="15" spans="1:13" hidden="1">
      <c r="A15" t="s">
        <v>82</v>
      </c>
      <c r="B15" s="26" t="s">
        <v>426</v>
      </c>
      <c r="C15" t="s">
        <v>419</v>
      </c>
      <c r="D15" t="s">
        <v>344</v>
      </c>
      <c r="E15">
        <v>2014</v>
      </c>
      <c r="F15" t="s">
        <v>224</v>
      </c>
      <c r="G15" s="4">
        <v>41809</v>
      </c>
      <c r="H15" t="s">
        <v>356</v>
      </c>
      <c r="I15">
        <v>5324</v>
      </c>
      <c r="J15">
        <v>5324</v>
      </c>
      <c r="K15">
        <v>639</v>
      </c>
      <c r="L15">
        <v>196</v>
      </c>
      <c r="M15">
        <v>443</v>
      </c>
    </row>
    <row r="16" spans="1:13" hidden="1">
      <c r="A16" t="s">
        <v>82</v>
      </c>
      <c r="B16" s="26" t="s">
        <v>426</v>
      </c>
      <c r="C16" t="s">
        <v>419</v>
      </c>
      <c r="D16" t="s">
        <v>344</v>
      </c>
      <c r="E16">
        <v>2014</v>
      </c>
      <c r="F16" t="s">
        <v>224</v>
      </c>
      <c r="G16" s="4">
        <v>41850</v>
      </c>
      <c r="H16" t="s">
        <v>357</v>
      </c>
      <c r="I16">
        <v>5324</v>
      </c>
      <c r="J16">
        <v>5324</v>
      </c>
      <c r="K16">
        <v>639</v>
      </c>
      <c r="L16">
        <v>196</v>
      </c>
      <c r="M16">
        <v>443</v>
      </c>
    </row>
    <row r="17" spans="1:13" hidden="1">
      <c r="A17" t="s">
        <v>82</v>
      </c>
      <c r="B17" s="26" t="s">
        <v>426</v>
      </c>
      <c r="C17" t="s">
        <v>419</v>
      </c>
      <c r="D17" t="s">
        <v>344</v>
      </c>
      <c r="E17">
        <v>2014</v>
      </c>
      <c r="F17" t="s">
        <v>224</v>
      </c>
      <c r="G17" s="4">
        <v>41876</v>
      </c>
      <c r="H17" t="s">
        <v>358</v>
      </c>
      <c r="I17">
        <v>355</v>
      </c>
      <c r="J17">
        <v>355</v>
      </c>
      <c r="K17">
        <v>43</v>
      </c>
      <c r="L17">
        <v>13</v>
      </c>
      <c r="M17">
        <v>30</v>
      </c>
    </row>
    <row r="18" spans="1:13" hidden="1">
      <c r="A18" t="s">
        <v>82</v>
      </c>
      <c r="B18" s="26" t="s">
        <v>427</v>
      </c>
      <c r="C18" t="s">
        <v>408</v>
      </c>
      <c r="D18" t="s">
        <v>409</v>
      </c>
      <c r="E18">
        <v>2014</v>
      </c>
      <c r="F18" t="s">
        <v>224</v>
      </c>
      <c r="G18" s="4">
        <v>41887</v>
      </c>
      <c r="H18" t="s">
        <v>358</v>
      </c>
      <c r="I18">
        <v>2600</v>
      </c>
      <c r="J18">
        <v>2600</v>
      </c>
      <c r="K18">
        <v>312</v>
      </c>
      <c r="L18">
        <v>95</v>
      </c>
      <c r="M18">
        <v>217</v>
      </c>
    </row>
    <row r="19" spans="1:13" hidden="1">
      <c r="A19" t="s">
        <v>82</v>
      </c>
      <c r="B19" s="26" t="s">
        <v>426</v>
      </c>
      <c r="C19" t="s">
        <v>419</v>
      </c>
      <c r="D19" t="s">
        <v>344</v>
      </c>
      <c r="E19">
        <v>2014</v>
      </c>
      <c r="F19" t="s">
        <v>224</v>
      </c>
      <c r="G19" s="4">
        <v>41900</v>
      </c>
      <c r="H19" t="s">
        <v>359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hidden="1">
      <c r="A20" t="s">
        <v>82</v>
      </c>
      <c r="B20" s="26" t="s">
        <v>427</v>
      </c>
      <c r="C20" t="s">
        <v>408</v>
      </c>
      <c r="D20" t="s">
        <v>409</v>
      </c>
      <c r="E20">
        <v>2014</v>
      </c>
      <c r="F20" t="s">
        <v>224</v>
      </c>
      <c r="G20" s="4">
        <v>41920</v>
      </c>
      <c r="H20" t="s">
        <v>359</v>
      </c>
      <c r="I20">
        <v>6283</v>
      </c>
      <c r="J20">
        <v>6283</v>
      </c>
      <c r="K20">
        <v>754</v>
      </c>
      <c r="L20">
        <v>231</v>
      </c>
      <c r="M20">
        <v>523</v>
      </c>
    </row>
    <row r="21" spans="1:13" hidden="1">
      <c r="A21" t="s">
        <v>82</v>
      </c>
      <c r="B21" s="26" t="s">
        <v>427</v>
      </c>
      <c r="C21" t="s">
        <v>408</v>
      </c>
      <c r="D21" t="s">
        <v>409</v>
      </c>
      <c r="E21">
        <v>2014</v>
      </c>
      <c r="F21" t="s">
        <v>224</v>
      </c>
      <c r="G21" s="4">
        <v>42080</v>
      </c>
      <c r="H21" t="s">
        <v>415</v>
      </c>
      <c r="I21">
        <v>6500</v>
      </c>
      <c r="J21">
        <v>6500</v>
      </c>
      <c r="K21">
        <v>780</v>
      </c>
      <c r="L21">
        <v>239</v>
      </c>
      <c r="M21">
        <v>541</v>
      </c>
    </row>
    <row r="22" spans="1:13" hidden="1">
      <c r="A22" t="s">
        <v>82</v>
      </c>
      <c r="B22" s="26" t="s">
        <v>427</v>
      </c>
      <c r="C22" t="s">
        <v>408</v>
      </c>
      <c r="D22" t="s">
        <v>409</v>
      </c>
      <c r="E22">
        <v>2014</v>
      </c>
      <c r="F22" t="s">
        <v>224</v>
      </c>
      <c r="G22" s="4">
        <v>42088</v>
      </c>
      <c r="H22" t="s">
        <v>410</v>
      </c>
      <c r="I22">
        <v>6500</v>
      </c>
      <c r="J22">
        <v>6500</v>
      </c>
      <c r="K22">
        <v>780</v>
      </c>
      <c r="L22">
        <v>239</v>
      </c>
      <c r="M22">
        <v>541</v>
      </c>
    </row>
    <row r="23" spans="1:13" hidden="1">
      <c r="A23" t="s">
        <v>82</v>
      </c>
      <c r="B23" s="26" t="s">
        <v>427</v>
      </c>
      <c r="C23" t="s">
        <v>408</v>
      </c>
      <c r="D23" t="s">
        <v>409</v>
      </c>
      <c r="E23">
        <v>2014</v>
      </c>
      <c r="F23" t="s">
        <v>224</v>
      </c>
      <c r="G23" s="4">
        <v>42089</v>
      </c>
      <c r="H23" t="s">
        <v>412</v>
      </c>
      <c r="I23">
        <v>6500</v>
      </c>
      <c r="J23">
        <v>6500</v>
      </c>
      <c r="K23">
        <v>780</v>
      </c>
      <c r="L23">
        <v>239</v>
      </c>
      <c r="M23">
        <v>541</v>
      </c>
    </row>
    <row r="24" spans="1:13" hidden="1">
      <c r="A24" t="s">
        <v>82</v>
      </c>
      <c r="B24" s="26" t="s">
        <v>427</v>
      </c>
      <c r="C24" t="s">
        <v>408</v>
      </c>
      <c r="D24" t="s">
        <v>409</v>
      </c>
      <c r="E24">
        <v>2014</v>
      </c>
      <c r="F24" t="s">
        <v>224</v>
      </c>
      <c r="G24" s="4">
        <v>42089</v>
      </c>
      <c r="H24" t="s">
        <v>413</v>
      </c>
      <c r="I24">
        <v>6500</v>
      </c>
      <c r="J24">
        <v>6500</v>
      </c>
      <c r="K24">
        <v>780</v>
      </c>
      <c r="L24">
        <v>239</v>
      </c>
      <c r="M24">
        <v>541</v>
      </c>
    </row>
    <row r="25" spans="1:13" hidden="1">
      <c r="A25" t="s">
        <v>82</v>
      </c>
      <c r="B25" s="26" t="s">
        <v>427</v>
      </c>
      <c r="C25" t="s">
        <v>408</v>
      </c>
      <c r="D25" t="s">
        <v>409</v>
      </c>
      <c r="E25">
        <v>2014</v>
      </c>
      <c r="F25" t="s">
        <v>224</v>
      </c>
      <c r="G25" s="4">
        <v>42089</v>
      </c>
      <c r="H25" t="s">
        <v>414</v>
      </c>
      <c r="I25">
        <v>6500</v>
      </c>
      <c r="J25">
        <v>6500</v>
      </c>
      <c r="K25">
        <v>780</v>
      </c>
      <c r="L25">
        <v>239</v>
      </c>
      <c r="M25">
        <v>541</v>
      </c>
    </row>
    <row r="26" spans="1:13">
      <c r="A26" t="s">
        <v>82</v>
      </c>
      <c r="B26" s="26" t="s">
        <v>426</v>
      </c>
      <c r="C26" t="s">
        <v>419</v>
      </c>
      <c r="D26" t="s">
        <v>344</v>
      </c>
      <c r="E26">
        <v>2014</v>
      </c>
      <c r="F26" t="s">
        <v>267</v>
      </c>
      <c r="G26" s="4">
        <v>42094</v>
      </c>
      <c r="H26" t="s">
        <v>268</v>
      </c>
      <c r="K26">
        <v>624</v>
      </c>
      <c r="L26">
        <v>191</v>
      </c>
      <c r="M26">
        <v>0</v>
      </c>
    </row>
    <row r="27" spans="1:13" hidden="1">
      <c r="A27" t="s">
        <v>82</v>
      </c>
      <c r="B27" s="26" t="s">
        <v>426</v>
      </c>
      <c r="C27" t="s">
        <v>419</v>
      </c>
      <c r="D27" t="s">
        <v>344</v>
      </c>
      <c r="E27">
        <v>2014</v>
      </c>
      <c r="F27" t="s">
        <v>269</v>
      </c>
      <c r="G27" s="4">
        <v>42094</v>
      </c>
      <c r="H27" t="s">
        <v>269</v>
      </c>
      <c r="K27">
        <v>8304</v>
      </c>
      <c r="L27">
        <v>2543</v>
      </c>
      <c r="M27">
        <v>5235</v>
      </c>
    </row>
    <row r="28" spans="1:13" hidden="1">
      <c r="A28" t="s">
        <v>82</v>
      </c>
      <c r="B28" s="26" t="s">
        <v>427</v>
      </c>
      <c r="C28" t="s">
        <v>408</v>
      </c>
      <c r="D28" t="s">
        <v>409</v>
      </c>
      <c r="E28">
        <v>2014</v>
      </c>
      <c r="F28" t="s">
        <v>224</v>
      </c>
      <c r="G28" s="4">
        <v>42094</v>
      </c>
      <c r="H28" t="s">
        <v>411</v>
      </c>
      <c r="I28">
        <v>6067</v>
      </c>
      <c r="J28">
        <v>6067</v>
      </c>
      <c r="K28">
        <v>728</v>
      </c>
      <c r="L28">
        <v>223</v>
      </c>
      <c r="M28">
        <v>505</v>
      </c>
    </row>
    <row r="29" spans="1:13">
      <c r="A29" t="s">
        <v>82</v>
      </c>
      <c r="B29" s="26" t="s">
        <v>427</v>
      </c>
      <c r="C29" t="s">
        <v>408</v>
      </c>
      <c r="D29" t="s">
        <v>409</v>
      </c>
      <c r="E29">
        <v>2014</v>
      </c>
      <c r="F29" t="s">
        <v>267</v>
      </c>
      <c r="G29" s="4">
        <v>42094</v>
      </c>
      <c r="H29" t="s">
        <v>268</v>
      </c>
      <c r="K29">
        <v>133</v>
      </c>
      <c r="L29">
        <v>41</v>
      </c>
      <c r="M29">
        <v>0</v>
      </c>
    </row>
    <row r="30" spans="1:13" hidden="1">
      <c r="A30" t="s">
        <v>82</v>
      </c>
      <c r="B30" s="26" t="s">
        <v>427</v>
      </c>
      <c r="C30" t="s">
        <v>408</v>
      </c>
      <c r="D30" t="s">
        <v>409</v>
      </c>
      <c r="E30">
        <v>2014</v>
      </c>
      <c r="F30" t="s">
        <v>269</v>
      </c>
      <c r="G30" s="4">
        <v>42094</v>
      </c>
      <c r="H30" t="s">
        <v>269</v>
      </c>
      <c r="K30">
        <v>5827</v>
      </c>
      <c r="L30">
        <v>1785</v>
      </c>
      <c r="M30">
        <v>3950</v>
      </c>
    </row>
    <row r="31" spans="1:13" hidden="1">
      <c r="A31" t="s">
        <v>82</v>
      </c>
      <c r="B31" s="26" t="s">
        <v>427</v>
      </c>
      <c r="C31" t="s">
        <v>408</v>
      </c>
      <c r="D31" t="s">
        <v>409</v>
      </c>
      <c r="E31">
        <v>2015</v>
      </c>
      <c r="F31" t="s">
        <v>224</v>
      </c>
      <c r="G31" s="4">
        <v>42145</v>
      </c>
      <c r="H31" t="s">
        <v>416</v>
      </c>
      <c r="I31">
        <v>6500</v>
      </c>
      <c r="J31">
        <v>6500</v>
      </c>
      <c r="K31">
        <v>780</v>
      </c>
      <c r="L31">
        <v>239</v>
      </c>
      <c r="M31">
        <v>541</v>
      </c>
    </row>
    <row r="32" spans="1:13" hidden="1">
      <c r="A32" t="s">
        <v>82</v>
      </c>
      <c r="B32" s="26" t="s">
        <v>427</v>
      </c>
      <c r="C32" t="s">
        <v>408</v>
      </c>
      <c r="D32" t="s">
        <v>409</v>
      </c>
      <c r="E32">
        <v>2015</v>
      </c>
      <c r="F32" t="s">
        <v>224</v>
      </c>
      <c r="G32" s="4">
        <v>42157</v>
      </c>
      <c r="H32" t="s">
        <v>417</v>
      </c>
      <c r="I32">
        <v>6500</v>
      </c>
      <c r="J32">
        <v>6500</v>
      </c>
      <c r="K32">
        <v>780</v>
      </c>
      <c r="L32">
        <v>239</v>
      </c>
      <c r="M32">
        <v>541</v>
      </c>
    </row>
    <row r="33" spans="1:13" hidden="1">
      <c r="A33" t="s">
        <v>82</v>
      </c>
      <c r="B33" s="26" t="s">
        <v>427</v>
      </c>
      <c r="C33" t="s">
        <v>408</v>
      </c>
      <c r="D33" t="s">
        <v>409</v>
      </c>
      <c r="E33">
        <v>2015</v>
      </c>
      <c r="F33" t="s">
        <v>224</v>
      </c>
      <c r="G33" s="4">
        <v>42185</v>
      </c>
      <c r="H33" t="s">
        <v>362</v>
      </c>
      <c r="I33">
        <v>0</v>
      </c>
      <c r="J33">
        <v>0</v>
      </c>
      <c r="K33">
        <v>1</v>
      </c>
      <c r="L33">
        <v>1</v>
      </c>
      <c r="M33">
        <v>1</v>
      </c>
    </row>
    <row r="34" spans="1:13" hidden="1">
      <c r="A34" t="s">
        <v>82</v>
      </c>
      <c r="B34" s="26" t="s">
        <v>424</v>
      </c>
      <c r="C34" t="s">
        <v>360</v>
      </c>
      <c r="D34" t="s">
        <v>361</v>
      </c>
      <c r="E34">
        <v>2015</v>
      </c>
      <c r="F34" t="s">
        <v>224</v>
      </c>
      <c r="G34" s="4">
        <v>42221</v>
      </c>
      <c r="H34" t="s">
        <v>362</v>
      </c>
      <c r="I34">
        <v>4925</v>
      </c>
      <c r="J34">
        <v>4925</v>
      </c>
      <c r="K34">
        <v>591</v>
      </c>
      <c r="L34">
        <v>181</v>
      </c>
      <c r="M34">
        <v>410</v>
      </c>
    </row>
    <row r="35" spans="1:13" hidden="1">
      <c r="A35" t="s">
        <v>82</v>
      </c>
      <c r="B35" s="26" t="s">
        <v>424</v>
      </c>
      <c r="C35" t="s">
        <v>360</v>
      </c>
      <c r="D35" t="s">
        <v>361</v>
      </c>
      <c r="E35">
        <v>2015</v>
      </c>
      <c r="F35" t="s">
        <v>224</v>
      </c>
      <c r="G35" s="4">
        <v>42221</v>
      </c>
      <c r="H35" t="s">
        <v>363</v>
      </c>
      <c r="I35">
        <v>12723</v>
      </c>
      <c r="J35">
        <v>12723</v>
      </c>
      <c r="K35">
        <v>1527</v>
      </c>
      <c r="L35">
        <v>467</v>
      </c>
      <c r="M35">
        <v>1060</v>
      </c>
    </row>
    <row r="36" spans="1:13" hidden="1">
      <c r="A36" t="s">
        <v>82</v>
      </c>
      <c r="B36" s="26" t="s">
        <v>427</v>
      </c>
      <c r="C36" t="s">
        <v>408</v>
      </c>
      <c r="D36" t="s">
        <v>409</v>
      </c>
      <c r="E36">
        <v>2015</v>
      </c>
      <c r="F36" t="s">
        <v>224</v>
      </c>
      <c r="G36" s="4">
        <v>42234</v>
      </c>
      <c r="H36" t="s">
        <v>363</v>
      </c>
      <c r="I36">
        <v>0</v>
      </c>
      <c r="J36">
        <v>0</v>
      </c>
      <c r="K36">
        <v>1</v>
      </c>
      <c r="L36">
        <v>1</v>
      </c>
      <c r="M36">
        <v>1</v>
      </c>
    </row>
    <row r="37" spans="1:13" hidden="1">
      <c r="A37" t="s">
        <v>82</v>
      </c>
      <c r="B37" s="26" t="s">
        <v>424</v>
      </c>
      <c r="C37" t="s">
        <v>360</v>
      </c>
      <c r="D37" t="s">
        <v>361</v>
      </c>
      <c r="E37">
        <v>2015</v>
      </c>
      <c r="F37" t="s">
        <v>224</v>
      </c>
      <c r="G37" s="4">
        <v>42243</v>
      </c>
      <c r="H37" t="s">
        <v>364</v>
      </c>
      <c r="I37">
        <v>12313</v>
      </c>
      <c r="J37">
        <v>12313</v>
      </c>
      <c r="K37">
        <v>1478</v>
      </c>
      <c r="L37">
        <v>452</v>
      </c>
      <c r="M37">
        <v>1026</v>
      </c>
    </row>
    <row r="38" spans="1:13" hidden="1">
      <c r="A38" t="s">
        <v>82</v>
      </c>
      <c r="B38" s="26" t="s">
        <v>424</v>
      </c>
      <c r="C38" t="s">
        <v>360</v>
      </c>
      <c r="D38" t="s">
        <v>361</v>
      </c>
      <c r="E38">
        <v>2015</v>
      </c>
      <c r="F38" t="s">
        <v>224</v>
      </c>
      <c r="G38" s="4">
        <v>42293</v>
      </c>
      <c r="H38" t="s">
        <v>365</v>
      </c>
      <c r="I38">
        <v>12723</v>
      </c>
      <c r="J38">
        <v>12723</v>
      </c>
      <c r="K38">
        <v>1527</v>
      </c>
      <c r="L38">
        <v>467</v>
      </c>
      <c r="M38">
        <v>1060</v>
      </c>
    </row>
    <row r="39" spans="1:13" hidden="1">
      <c r="A39" t="s">
        <v>82</v>
      </c>
      <c r="B39" s="26" t="s">
        <v>424</v>
      </c>
      <c r="C39" t="s">
        <v>360</v>
      </c>
      <c r="D39" t="s">
        <v>361</v>
      </c>
      <c r="E39">
        <v>2015</v>
      </c>
      <c r="F39" t="s">
        <v>224</v>
      </c>
      <c r="G39" s="4">
        <v>42305</v>
      </c>
      <c r="H39" t="s">
        <v>366</v>
      </c>
      <c r="I39">
        <v>12298</v>
      </c>
      <c r="J39">
        <v>12298</v>
      </c>
      <c r="K39">
        <v>1476</v>
      </c>
      <c r="L39">
        <v>452</v>
      </c>
      <c r="M39">
        <v>1024</v>
      </c>
    </row>
    <row r="40" spans="1:13" hidden="1">
      <c r="A40" t="s">
        <v>82</v>
      </c>
      <c r="B40" s="26" t="s">
        <v>424</v>
      </c>
      <c r="C40" t="s">
        <v>360</v>
      </c>
      <c r="D40" t="s">
        <v>361</v>
      </c>
      <c r="E40">
        <v>2015</v>
      </c>
      <c r="F40" t="s">
        <v>224</v>
      </c>
      <c r="G40" s="4">
        <v>42338</v>
      </c>
      <c r="H40" t="s">
        <v>367</v>
      </c>
      <c r="I40">
        <v>12313</v>
      </c>
      <c r="J40">
        <v>12313</v>
      </c>
      <c r="K40">
        <v>1478</v>
      </c>
      <c r="L40">
        <v>452</v>
      </c>
      <c r="M40">
        <v>1026</v>
      </c>
    </row>
    <row r="41" spans="1:13" hidden="1">
      <c r="A41" t="s">
        <v>82</v>
      </c>
      <c r="B41" s="26" t="s">
        <v>424</v>
      </c>
      <c r="C41" t="s">
        <v>360</v>
      </c>
      <c r="D41" t="s">
        <v>361</v>
      </c>
      <c r="E41">
        <v>2015</v>
      </c>
      <c r="F41" t="s">
        <v>224</v>
      </c>
      <c r="G41" s="4">
        <v>42359</v>
      </c>
      <c r="H41" t="s">
        <v>368</v>
      </c>
      <c r="I41">
        <v>12298</v>
      </c>
      <c r="J41">
        <v>12298</v>
      </c>
      <c r="K41">
        <v>1476</v>
      </c>
      <c r="L41">
        <v>452</v>
      </c>
      <c r="M41">
        <v>1024</v>
      </c>
    </row>
    <row r="42" spans="1:13" hidden="1">
      <c r="A42" t="s">
        <v>82</v>
      </c>
      <c r="B42" s="26" t="s">
        <v>424</v>
      </c>
      <c r="C42" t="s">
        <v>360</v>
      </c>
      <c r="D42" t="s">
        <v>361</v>
      </c>
      <c r="E42">
        <v>2015</v>
      </c>
      <c r="F42" t="s">
        <v>224</v>
      </c>
      <c r="G42" s="4">
        <v>42396</v>
      </c>
      <c r="H42" t="s">
        <v>369</v>
      </c>
      <c r="I42">
        <v>12723</v>
      </c>
      <c r="J42">
        <v>12723</v>
      </c>
      <c r="K42">
        <v>1527</v>
      </c>
      <c r="L42">
        <v>467</v>
      </c>
      <c r="M42">
        <v>1060</v>
      </c>
    </row>
    <row r="43" spans="1:13" hidden="1">
      <c r="A43" t="s">
        <v>82</v>
      </c>
      <c r="B43" s="26" t="s">
        <v>424</v>
      </c>
      <c r="C43" t="s">
        <v>360</v>
      </c>
      <c r="D43" t="s">
        <v>361</v>
      </c>
      <c r="E43">
        <v>2015</v>
      </c>
      <c r="F43" t="s">
        <v>224</v>
      </c>
      <c r="G43" s="4">
        <v>42429</v>
      </c>
      <c r="H43" t="s">
        <v>370</v>
      </c>
      <c r="I43">
        <v>12723</v>
      </c>
      <c r="J43">
        <v>12723</v>
      </c>
      <c r="K43">
        <v>1527</v>
      </c>
      <c r="L43">
        <v>467</v>
      </c>
      <c r="M43">
        <v>1060</v>
      </c>
    </row>
    <row r="44" spans="1:13" hidden="1">
      <c r="A44" t="s">
        <v>82</v>
      </c>
      <c r="B44" s="26" t="s">
        <v>424</v>
      </c>
      <c r="C44" t="s">
        <v>360</v>
      </c>
      <c r="D44" t="s">
        <v>361</v>
      </c>
      <c r="E44">
        <v>2015</v>
      </c>
      <c r="F44" t="s">
        <v>224</v>
      </c>
      <c r="G44" s="4">
        <v>42444</v>
      </c>
      <c r="H44" t="s">
        <v>371</v>
      </c>
      <c r="I44">
        <v>12723</v>
      </c>
      <c r="J44">
        <v>12723</v>
      </c>
      <c r="K44">
        <v>1527</v>
      </c>
      <c r="L44">
        <v>467</v>
      </c>
      <c r="M44">
        <v>1060</v>
      </c>
    </row>
    <row r="45" spans="1:13">
      <c r="A45" t="s">
        <v>82</v>
      </c>
      <c r="B45" s="26" t="s">
        <v>426</v>
      </c>
      <c r="C45" t="s">
        <v>419</v>
      </c>
      <c r="D45" t="s">
        <v>344</v>
      </c>
      <c r="E45">
        <v>2015</v>
      </c>
      <c r="F45" t="s">
        <v>267</v>
      </c>
      <c r="G45" s="4">
        <v>42460</v>
      </c>
      <c r="H45" t="s">
        <v>268</v>
      </c>
      <c r="K45">
        <v>731</v>
      </c>
      <c r="L45">
        <v>224</v>
      </c>
      <c r="M45">
        <v>0</v>
      </c>
    </row>
    <row r="46" spans="1:13" hidden="1">
      <c r="A46" t="s">
        <v>82</v>
      </c>
      <c r="B46" s="26" t="s">
        <v>426</v>
      </c>
      <c r="C46" t="s">
        <v>419</v>
      </c>
      <c r="D46" t="s">
        <v>344</v>
      </c>
      <c r="E46">
        <v>2015</v>
      </c>
      <c r="F46" t="s">
        <v>269</v>
      </c>
      <c r="G46" s="4">
        <v>42460</v>
      </c>
      <c r="H46" t="s">
        <v>269</v>
      </c>
      <c r="K46">
        <v>9035</v>
      </c>
      <c r="L46">
        <v>2767</v>
      </c>
      <c r="M46">
        <v>5235</v>
      </c>
    </row>
    <row r="47" spans="1:13">
      <c r="A47" t="s">
        <v>82</v>
      </c>
      <c r="B47" s="26" t="s">
        <v>424</v>
      </c>
      <c r="C47" t="s">
        <v>360</v>
      </c>
      <c r="D47" t="s">
        <v>361</v>
      </c>
      <c r="E47">
        <v>2015</v>
      </c>
      <c r="F47" t="s">
        <v>267</v>
      </c>
      <c r="G47" s="4">
        <v>42460</v>
      </c>
      <c r="H47" t="s">
        <v>268</v>
      </c>
      <c r="K47">
        <v>435</v>
      </c>
      <c r="L47">
        <v>133</v>
      </c>
      <c r="M47">
        <v>0</v>
      </c>
    </row>
    <row r="48" spans="1:13" hidden="1">
      <c r="A48" t="s">
        <v>82</v>
      </c>
      <c r="B48" s="26" t="s">
        <v>424</v>
      </c>
      <c r="C48" t="s">
        <v>360</v>
      </c>
      <c r="D48" t="s">
        <v>361</v>
      </c>
      <c r="E48">
        <v>2015</v>
      </c>
      <c r="F48" t="s">
        <v>269</v>
      </c>
      <c r="G48" s="4">
        <v>42460</v>
      </c>
      <c r="H48" t="s">
        <v>269</v>
      </c>
      <c r="K48">
        <v>14569</v>
      </c>
      <c r="L48">
        <v>4457</v>
      </c>
      <c r="M48">
        <v>9810</v>
      </c>
    </row>
    <row r="49" spans="1:13">
      <c r="A49" t="s">
        <v>82</v>
      </c>
      <c r="B49" s="26" t="s">
        <v>427</v>
      </c>
      <c r="C49" t="s">
        <v>408</v>
      </c>
      <c r="D49" t="s">
        <v>409</v>
      </c>
      <c r="E49">
        <v>2015</v>
      </c>
      <c r="F49" t="s">
        <v>267</v>
      </c>
      <c r="G49" s="4">
        <v>42460</v>
      </c>
      <c r="H49" t="s">
        <v>268</v>
      </c>
      <c r="K49">
        <v>633</v>
      </c>
      <c r="L49">
        <v>194</v>
      </c>
      <c r="M49">
        <v>0</v>
      </c>
    </row>
    <row r="50" spans="1:13" hidden="1">
      <c r="A50" t="s">
        <v>82</v>
      </c>
      <c r="B50" s="26" t="s">
        <v>427</v>
      </c>
      <c r="C50" t="s">
        <v>408</v>
      </c>
      <c r="D50" t="s">
        <v>409</v>
      </c>
      <c r="E50">
        <v>2015</v>
      </c>
      <c r="F50" t="s">
        <v>269</v>
      </c>
      <c r="G50" s="4">
        <v>42460</v>
      </c>
      <c r="H50" t="s">
        <v>269</v>
      </c>
      <c r="K50">
        <v>8022</v>
      </c>
      <c r="L50">
        <v>2459</v>
      </c>
      <c r="M50">
        <v>5034</v>
      </c>
    </row>
    <row r="51" spans="1:13" hidden="1">
      <c r="A51" t="s">
        <v>82</v>
      </c>
      <c r="B51" s="26" t="s">
        <v>424</v>
      </c>
      <c r="C51" t="s">
        <v>360</v>
      </c>
      <c r="D51" t="s">
        <v>361</v>
      </c>
      <c r="E51">
        <v>2016</v>
      </c>
      <c r="F51" t="s">
        <v>224</v>
      </c>
      <c r="G51" s="4">
        <v>42473</v>
      </c>
      <c r="H51" t="s">
        <v>372</v>
      </c>
      <c r="I51">
        <v>12723</v>
      </c>
      <c r="J51">
        <v>12723</v>
      </c>
      <c r="K51">
        <v>1527</v>
      </c>
      <c r="L51">
        <v>467</v>
      </c>
      <c r="M51">
        <v>1060</v>
      </c>
    </row>
    <row r="52" spans="1:13" hidden="1">
      <c r="A52" t="s">
        <v>82</v>
      </c>
      <c r="B52" s="26" t="s">
        <v>424</v>
      </c>
      <c r="C52" t="s">
        <v>360</v>
      </c>
      <c r="D52" t="s">
        <v>361</v>
      </c>
      <c r="E52">
        <v>2016</v>
      </c>
      <c r="F52" t="s">
        <v>224</v>
      </c>
      <c r="G52" s="4">
        <v>42502</v>
      </c>
      <c r="H52" t="s">
        <v>373</v>
      </c>
      <c r="I52">
        <v>14039</v>
      </c>
      <c r="J52">
        <v>14039</v>
      </c>
      <c r="K52">
        <v>1685</v>
      </c>
      <c r="L52">
        <v>516</v>
      </c>
      <c r="M52">
        <v>1169</v>
      </c>
    </row>
    <row r="53" spans="1:13" hidden="1">
      <c r="A53" t="s">
        <v>82</v>
      </c>
      <c r="B53" s="26" t="s">
        <v>424</v>
      </c>
      <c r="C53" t="s">
        <v>360</v>
      </c>
      <c r="D53" t="s">
        <v>361</v>
      </c>
      <c r="E53">
        <v>2016</v>
      </c>
      <c r="F53" t="s">
        <v>224</v>
      </c>
      <c r="G53" s="4">
        <v>42534</v>
      </c>
      <c r="H53" t="s">
        <v>374</v>
      </c>
      <c r="I53">
        <v>14039</v>
      </c>
      <c r="J53">
        <v>14039</v>
      </c>
      <c r="K53">
        <v>1685</v>
      </c>
      <c r="L53">
        <v>516</v>
      </c>
      <c r="M53">
        <v>1169</v>
      </c>
    </row>
    <row r="54" spans="1:13" hidden="1">
      <c r="A54" t="s">
        <v>82</v>
      </c>
      <c r="B54" s="26" t="s">
        <v>424</v>
      </c>
      <c r="C54" t="s">
        <v>360</v>
      </c>
      <c r="D54" t="s">
        <v>361</v>
      </c>
      <c r="E54">
        <v>2016</v>
      </c>
      <c r="F54" t="s">
        <v>224</v>
      </c>
      <c r="G54" s="4">
        <v>42565</v>
      </c>
      <c r="H54" t="s">
        <v>375</v>
      </c>
      <c r="I54">
        <v>14039</v>
      </c>
      <c r="J54">
        <v>14039</v>
      </c>
      <c r="K54">
        <v>1685</v>
      </c>
      <c r="L54">
        <v>516</v>
      </c>
      <c r="M54">
        <v>1169</v>
      </c>
    </row>
    <row r="55" spans="1:13" hidden="1">
      <c r="A55" t="s">
        <v>82</v>
      </c>
      <c r="B55" s="26" t="s">
        <v>424</v>
      </c>
      <c r="C55" t="s">
        <v>360</v>
      </c>
      <c r="D55" t="s">
        <v>361</v>
      </c>
      <c r="E55">
        <v>2016</v>
      </c>
      <c r="F55" t="s">
        <v>224</v>
      </c>
      <c r="G55" s="4">
        <v>42593</v>
      </c>
      <c r="H55" t="s">
        <v>376</v>
      </c>
      <c r="I55">
        <v>14039</v>
      </c>
      <c r="J55">
        <v>14039</v>
      </c>
      <c r="K55">
        <v>1685</v>
      </c>
      <c r="L55">
        <v>516</v>
      </c>
      <c r="M55">
        <v>1169</v>
      </c>
    </row>
    <row r="56" spans="1:13" hidden="1">
      <c r="A56" t="s">
        <v>82</v>
      </c>
      <c r="B56" s="26" t="s">
        <v>424</v>
      </c>
      <c r="C56" t="s">
        <v>360</v>
      </c>
      <c r="D56" t="s">
        <v>361</v>
      </c>
      <c r="E56">
        <v>2016</v>
      </c>
      <c r="F56" t="s">
        <v>224</v>
      </c>
      <c r="G56" s="4">
        <v>42628</v>
      </c>
      <c r="H56" t="s">
        <v>377</v>
      </c>
      <c r="I56">
        <v>14039</v>
      </c>
      <c r="J56">
        <v>14039</v>
      </c>
      <c r="K56">
        <v>1685</v>
      </c>
      <c r="L56">
        <v>516</v>
      </c>
      <c r="M56">
        <v>1169</v>
      </c>
    </row>
    <row r="57" spans="1:13" hidden="1">
      <c r="A57" t="s">
        <v>82</v>
      </c>
      <c r="B57" s="26" t="s">
        <v>424</v>
      </c>
      <c r="C57" t="s">
        <v>360</v>
      </c>
      <c r="D57" t="s">
        <v>361</v>
      </c>
      <c r="E57">
        <v>2016</v>
      </c>
      <c r="F57" t="s">
        <v>224</v>
      </c>
      <c r="G57" s="4">
        <v>42656</v>
      </c>
      <c r="H57" t="s">
        <v>378</v>
      </c>
      <c r="I57">
        <v>13805</v>
      </c>
      <c r="J57">
        <v>13805</v>
      </c>
      <c r="K57">
        <v>1657</v>
      </c>
      <c r="L57">
        <v>507</v>
      </c>
      <c r="M57">
        <v>1150</v>
      </c>
    </row>
    <row r="58" spans="1:13" hidden="1">
      <c r="A58" t="s">
        <v>82</v>
      </c>
      <c r="B58" s="26" t="s">
        <v>424</v>
      </c>
      <c r="C58" t="s">
        <v>360</v>
      </c>
      <c r="D58" t="s">
        <v>361</v>
      </c>
      <c r="E58">
        <v>2016</v>
      </c>
      <c r="F58" t="s">
        <v>224</v>
      </c>
      <c r="G58" s="4">
        <v>42689</v>
      </c>
      <c r="H58" t="s">
        <v>379</v>
      </c>
      <c r="I58">
        <v>14039</v>
      </c>
      <c r="J58">
        <v>14039</v>
      </c>
      <c r="K58">
        <v>1685</v>
      </c>
      <c r="L58">
        <v>516</v>
      </c>
      <c r="M58">
        <v>1169</v>
      </c>
    </row>
    <row r="59" spans="1:13" hidden="1">
      <c r="A59" t="s">
        <v>82</v>
      </c>
      <c r="B59" s="26" t="s">
        <v>424</v>
      </c>
      <c r="C59" t="s">
        <v>360</v>
      </c>
      <c r="D59" t="s">
        <v>361</v>
      </c>
      <c r="E59">
        <v>2016</v>
      </c>
      <c r="F59" t="s">
        <v>224</v>
      </c>
      <c r="G59" s="4">
        <v>42718</v>
      </c>
      <c r="H59" t="s">
        <v>380</v>
      </c>
      <c r="I59">
        <v>15000</v>
      </c>
      <c r="J59">
        <v>15000</v>
      </c>
      <c r="K59">
        <v>1800</v>
      </c>
      <c r="L59">
        <v>550</v>
      </c>
      <c r="M59">
        <v>1250</v>
      </c>
    </row>
    <row r="60" spans="1:13" hidden="1">
      <c r="A60" t="s">
        <v>82</v>
      </c>
      <c r="B60" s="26" t="s">
        <v>424</v>
      </c>
      <c r="C60" t="s">
        <v>360</v>
      </c>
      <c r="D60" t="s">
        <v>361</v>
      </c>
      <c r="E60">
        <v>2016</v>
      </c>
      <c r="F60" t="s">
        <v>224</v>
      </c>
      <c r="G60" s="4">
        <v>42753</v>
      </c>
      <c r="H60" t="s">
        <v>381</v>
      </c>
      <c r="I60">
        <v>15000</v>
      </c>
      <c r="J60">
        <v>15000</v>
      </c>
      <c r="K60">
        <v>1800</v>
      </c>
      <c r="L60">
        <v>550</v>
      </c>
      <c r="M60">
        <v>1250</v>
      </c>
    </row>
    <row r="61" spans="1:13" hidden="1">
      <c r="A61" t="s">
        <v>82</v>
      </c>
      <c r="B61" s="26" t="s">
        <v>424</v>
      </c>
      <c r="C61" t="s">
        <v>360</v>
      </c>
      <c r="D61" t="s">
        <v>361</v>
      </c>
      <c r="E61">
        <v>2016</v>
      </c>
      <c r="F61" t="s">
        <v>224</v>
      </c>
      <c r="G61" s="4">
        <v>42780</v>
      </c>
      <c r="H61" t="s">
        <v>382</v>
      </c>
      <c r="I61">
        <v>15000</v>
      </c>
      <c r="J61">
        <v>15000</v>
      </c>
      <c r="K61">
        <v>1800</v>
      </c>
      <c r="L61">
        <v>550</v>
      </c>
      <c r="M61">
        <v>1250</v>
      </c>
    </row>
    <row r="62" spans="1:13" hidden="1">
      <c r="A62" t="s">
        <v>82</v>
      </c>
      <c r="B62" s="26" t="s">
        <v>424</v>
      </c>
      <c r="C62" t="s">
        <v>360</v>
      </c>
      <c r="D62" t="s">
        <v>361</v>
      </c>
      <c r="E62">
        <v>2016</v>
      </c>
      <c r="F62" t="s">
        <v>224</v>
      </c>
      <c r="G62" s="4">
        <v>42811</v>
      </c>
      <c r="H62" t="s">
        <v>383</v>
      </c>
      <c r="I62">
        <v>15000</v>
      </c>
      <c r="J62">
        <v>15000</v>
      </c>
      <c r="K62">
        <v>1800</v>
      </c>
      <c r="L62">
        <v>550</v>
      </c>
      <c r="M62">
        <v>1250</v>
      </c>
    </row>
    <row r="63" spans="1:13">
      <c r="A63" t="s">
        <v>82</v>
      </c>
      <c r="B63" s="26" t="s">
        <v>426</v>
      </c>
      <c r="C63" t="s">
        <v>419</v>
      </c>
      <c r="D63" t="s">
        <v>344</v>
      </c>
      <c r="E63">
        <v>2016</v>
      </c>
      <c r="F63" t="s">
        <v>267</v>
      </c>
      <c r="G63" s="4">
        <v>42825</v>
      </c>
      <c r="H63" t="s">
        <v>268</v>
      </c>
      <c r="K63">
        <v>782</v>
      </c>
      <c r="L63">
        <v>239</v>
      </c>
      <c r="M63">
        <v>0</v>
      </c>
    </row>
    <row r="64" spans="1:13" hidden="1">
      <c r="A64" t="s">
        <v>82</v>
      </c>
      <c r="B64" s="26" t="s">
        <v>426</v>
      </c>
      <c r="C64" t="s">
        <v>419</v>
      </c>
      <c r="D64" t="s">
        <v>344</v>
      </c>
      <c r="E64">
        <v>2016</v>
      </c>
      <c r="F64" t="s">
        <v>269</v>
      </c>
      <c r="G64" s="4">
        <v>42825</v>
      </c>
      <c r="H64" t="s">
        <v>269</v>
      </c>
      <c r="K64">
        <v>9817</v>
      </c>
      <c r="L64">
        <v>3006</v>
      </c>
      <c r="M64">
        <v>5235</v>
      </c>
    </row>
    <row r="65" spans="1:13">
      <c r="A65" t="s">
        <v>82</v>
      </c>
      <c r="B65" s="26" t="s">
        <v>424</v>
      </c>
      <c r="C65" t="s">
        <v>360</v>
      </c>
      <c r="D65" t="s">
        <v>361</v>
      </c>
      <c r="E65">
        <v>2016</v>
      </c>
      <c r="F65" t="s">
        <v>267</v>
      </c>
      <c r="G65" s="4">
        <v>42825</v>
      </c>
      <c r="H65" t="s">
        <v>268</v>
      </c>
      <c r="K65">
        <v>2053</v>
      </c>
      <c r="L65">
        <v>628</v>
      </c>
      <c r="M65">
        <v>0</v>
      </c>
    </row>
    <row r="66" spans="1:13" hidden="1">
      <c r="A66" t="s">
        <v>82</v>
      </c>
      <c r="B66" s="26" t="s">
        <v>424</v>
      </c>
      <c r="C66" t="s">
        <v>360</v>
      </c>
      <c r="D66" t="s">
        <v>361</v>
      </c>
      <c r="E66">
        <v>2016</v>
      </c>
      <c r="F66" t="s">
        <v>269</v>
      </c>
      <c r="G66" s="4">
        <v>42825</v>
      </c>
      <c r="H66" t="s">
        <v>269</v>
      </c>
      <c r="K66">
        <v>37116</v>
      </c>
      <c r="L66">
        <v>11355</v>
      </c>
      <c r="M66">
        <v>24034</v>
      </c>
    </row>
    <row r="67" spans="1:13">
      <c r="A67" t="s">
        <v>82</v>
      </c>
      <c r="B67" s="26" t="s">
        <v>427</v>
      </c>
      <c r="C67" t="s">
        <v>408</v>
      </c>
      <c r="D67" t="s">
        <v>409</v>
      </c>
      <c r="E67">
        <v>2016</v>
      </c>
      <c r="F67" t="s">
        <v>267</v>
      </c>
      <c r="G67" s="4">
        <v>42825</v>
      </c>
      <c r="H67" t="s">
        <v>268</v>
      </c>
      <c r="K67">
        <v>694</v>
      </c>
      <c r="L67">
        <v>213</v>
      </c>
      <c r="M67">
        <v>0</v>
      </c>
    </row>
    <row r="68" spans="1:13" hidden="1">
      <c r="A68" t="s">
        <v>82</v>
      </c>
      <c r="B68" s="26" t="s">
        <v>427</v>
      </c>
      <c r="C68" t="s">
        <v>408</v>
      </c>
      <c r="D68" t="s">
        <v>409</v>
      </c>
      <c r="E68">
        <v>2016</v>
      </c>
      <c r="F68" t="s">
        <v>269</v>
      </c>
      <c r="G68" s="4">
        <v>42825</v>
      </c>
      <c r="H68" t="s">
        <v>269</v>
      </c>
      <c r="K68">
        <v>8716</v>
      </c>
      <c r="L68">
        <v>2672</v>
      </c>
      <c r="M68">
        <v>5034</v>
      </c>
    </row>
    <row r="69" spans="1:13" hidden="1">
      <c r="A69" t="s">
        <v>82</v>
      </c>
      <c r="B69" s="26" t="s">
        <v>424</v>
      </c>
      <c r="C69" t="s">
        <v>360</v>
      </c>
      <c r="D69" t="s">
        <v>361</v>
      </c>
      <c r="E69">
        <v>2017</v>
      </c>
      <c r="F69" t="s">
        <v>224</v>
      </c>
      <c r="G69" s="4">
        <v>42835</v>
      </c>
      <c r="H69" t="s">
        <v>384</v>
      </c>
      <c r="I69">
        <v>15000</v>
      </c>
      <c r="J69">
        <v>15000</v>
      </c>
      <c r="K69">
        <v>1800</v>
      </c>
      <c r="L69">
        <v>550</v>
      </c>
      <c r="M69">
        <v>1250</v>
      </c>
    </row>
    <row r="70" spans="1:13" hidden="1">
      <c r="A70" t="s">
        <v>82</v>
      </c>
      <c r="B70" s="26" t="s">
        <v>424</v>
      </c>
      <c r="C70" t="s">
        <v>360</v>
      </c>
      <c r="D70" t="s">
        <v>361</v>
      </c>
      <c r="E70">
        <v>2017</v>
      </c>
      <c r="F70" t="s">
        <v>224</v>
      </c>
      <c r="G70" s="4">
        <v>42866</v>
      </c>
      <c r="H70" t="s">
        <v>385</v>
      </c>
      <c r="I70">
        <v>15000</v>
      </c>
      <c r="J70">
        <v>15000</v>
      </c>
      <c r="K70">
        <v>1800</v>
      </c>
      <c r="L70">
        <v>550</v>
      </c>
      <c r="M70">
        <v>1250</v>
      </c>
    </row>
    <row r="71" spans="1:13" hidden="1">
      <c r="A71" t="s">
        <v>82</v>
      </c>
      <c r="B71" s="26" t="s">
        <v>424</v>
      </c>
      <c r="C71" t="s">
        <v>360</v>
      </c>
      <c r="D71" t="s">
        <v>361</v>
      </c>
      <c r="E71">
        <v>2017</v>
      </c>
      <c r="F71" t="s">
        <v>224</v>
      </c>
      <c r="G71" s="4">
        <v>42900</v>
      </c>
      <c r="H71" t="s">
        <v>386</v>
      </c>
      <c r="I71">
        <v>15000</v>
      </c>
      <c r="J71">
        <v>15000</v>
      </c>
      <c r="K71">
        <v>1800</v>
      </c>
      <c r="L71">
        <v>550</v>
      </c>
      <c r="M71">
        <v>1250</v>
      </c>
    </row>
    <row r="72" spans="1:13" hidden="1">
      <c r="A72" t="s">
        <v>82</v>
      </c>
      <c r="B72" s="26" t="s">
        <v>424</v>
      </c>
      <c r="C72" t="s">
        <v>360</v>
      </c>
      <c r="D72" t="s">
        <v>361</v>
      </c>
      <c r="E72">
        <v>2017</v>
      </c>
      <c r="F72" t="s">
        <v>224</v>
      </c>
      <c r="G72" s="4">
        <v>42928</v>
      </c>
      <c r="H72" t="s">
        <v>387</v>
      </c>
      <c r="I72">
        <v>15000</v>
      </c>
      <c r="J72">
        <v>15000</v>
      </c>
      <c r="K72">
        <v>1800</v>
      </c>
      <c r="L72">
        <v>550</v>
      </c>
      <c r="M72">
        <v>1250</v>
      </c>
    </row>
    <row r="73" spans="1:13" hidden="1">
      <c r="A73" t="s">
        <v>82</v>
      </c>
      <c r="B73" s="26" t="s">
        <v>424</v>
      </c>
      <c r="C73" t="s">
        <v>360</v>
      </c>
      <c r="D73" t="s">
        <v>361</v>
      </c>
      <c r="E73">
        <v>2017</v>
      </c>
      <c r="F73" t="s">
        <v>224</v>
      </c>
      <c r="G73" s="4">
        <v>42958</v>
      </c>
      <c r="H73" t="s">
        <v>388</v>
      </c>
      <c r="I73">
        <v>15000</v>
      </c>
      <c r="J73">
        <v>15000</v>
      </c>
      <c r="K73">
        <v>1800</v>
      </c>
      <c r="L73">
        <v>550</v>
      </c>
      <c r="M73">
        <v>1250</v>
      </c>
    </row>
    <row r="74" spans="1:13" hidden="1">
      <c r="A74" t="s">
        <v>82</v>
      </c>
      <c r="B74" s="26" t="s">
        <v>424</v>
      </c>
      <c r="C74" t="s">
        <v>360</v>
      </c>
      <c r="D74" t="s">
        <v>361</v>
      </c>
      <c r="E74">
        <v>2017</v>
      </c>
      <c r="F74" t="s">
        <v>224</v>
      </c>
      <c r="G74" s="4">
        <v>42993</v>
      </c>
      <c r="H74" t="s">
        <v>389</v>
      </c>
      <c r="I74">
        <v>15000</v>
      </c>
      <c r="J74">
        <v>15000</v>
      </c>
      <c r="K74">
        <v>1800</v>
      </c>
      <c r="L74">
        <v>550</v>
      </c>
      <c r="M74">
        <v>1250</v>
      </c>
    </row>
    <row r="75" spans="1:13" hidden="1">
      <c r="A75" t="s">
        <v>82</v>
      </c>
      <c r="B75" s="26" t="s">
        <v>424</v>
      </c>
      <c r="C75" t="s">
        <v>360</v>
      </c>
      <c r="D75" t="s">
        <v>361</v>
      </c>
      <c r="E75">
        <v>2017</v>
      </c>
      <c r="F75" t="s">
        <v>224</v>
      </c>
      <c r="G75" s="4">
        <v>43025</v>
      </c>
      <c r="H75" t="s">
        <v>390</v>
      </c>
      <c r="I75">
        <v>15000</v>
      </c>
      <c r="J75">
        <v>15000</v>
      </c>
      <c r="K75">
        <v>1800</v>
      </c>
      <c r="L75">
        <v>550</v>
      </c>
      <c r="M75">
        <v>1250</v>
      </c>
    </row>
    <row r="76" spans="1:13" hidden="1">
      <c r="A76" t="s">
        <v>82</v>
      </c>
      <c r="B76" s="26" t="s">
        <v>424</v>
      </c>
      <c r="C76" t="s">
        <v>360</v>
      </c>
      <c r="D76" t="s">
        <v>361</v>
      </c>
      <c r="E76">
        <v>2017</v>
      </c>
      <c r="F76" t="s">
        <v>224</v>
      </c>
      <c r="G76" s="4">
        <v>43054</v>
      </c>
      <c r="H76" t="s">
        <v>391</v>
      </c>
      <c r="I76">
        <v>15000</v>
      </c>
      <c r="J76">
        <v>15000</v>
      </c>
      <c r="K76">
        <v>1800</v>
      </c>
      <c r="L76">
        <v>550</v>
      </c>
      <c r="M76">
        <v>1250</v>
      </c>
    </row>
    <row r="77" spans="1:13" hidden="1">
      <c r="A77" t="s">
        <v>82</v>
      </c>
      <c r="B77" s="26" t="s">
        <v>424</v>
      </c>
      <c r="C77" t="s">
        <v>360</v>
      </c>
      <c r="D77" t="s">
        <v>361</v>
      </c>
      <c r="E77">
        <v>2017</v>
      </c>
      <c r="F77" t="s">
        <v>224</v>
      </c>
      <c r="G77" s="4">
        <v>43084</v>
      </c>
      <c r="H77" t="s">
        <v>392</v>
      </c>
      <c r="I77">
        <v>15000</v>
      </c>
      <c r="J77">
        <v>15000</v>
      </c>
      <c r="K77">
        <v>1800</v>
      </c>
      <c r="L77">
        <v>550</v>
      </c>
      <c r="M77">
        <v>1250</v>
      </c>
    </row>
    <row r="78" spans="1:13" hidden="1">
      <c r="A78" t="s">
        <v>82</v>
      </c>
      <c r="B78" s="26" t="s">
        <v>424</v>
      </c>
      <c r="C78" t="s">
        <v>360</v>
      </c>
      <c r="D78" t="s">
        <v>361</v>
      </c>
      <c r="E78">
        <v>2017</v>
      </c>
      <c r="F78" t="s">
        <v>224</v>
      </c>
      <c r="G78" s="4">
        <v>43105</v>
      </c>
      <c r="H78" t="s">
        <v>393</v>
      </c>
      <c r="I78">
        <v>15000</v>
      </c>
      <c r="J78">
        <v>15000</v>
      </c>
      <c r="K78">
        <v>1800</v>
      </c>
      <c r="L78">
        <v>550</v>
      </c>
      <c r="M78">
        <v>1250</v>
      </c>
    </row>
    <row r="79" spans="1:13" hidden="1">
      <c r="A79" t="s">
        <v>82</v>
      </c>
      <c r="B79" s="26" t="s">
        <v>424</v>
      </c>
      <c r="C79" t="s">
        <v>360</v>
      </c>
      <c r="D79" t="s">
        <v>361</v>
      </c>
      <c r="E79">
        <v>2017</v>
      </c>
      <c r="F79" t="s">
        <v>224</v>
      </c>
      <c r="G79" s="4">
        <v>43145</v>
      </c>
      <c r="H79" t="s">
        <v>394</v>
      </c>
      <c r="I79">
        <v>15000</v>
      </c>
      <c r="J79">
        <v>15000</v>
      </c>
      <c r="K79">
        <v>1800</v>
      </c>
      <c r="L79">
        <v>550</v>
      </c>
      <c r="M79">
        <v>1250</v>
      </c>
    </row>
    <row r="80" spans="1:13" hidden="1">
      <c r="A80" t="s">
        <v>82</v>
      </c>
      <c r="B80" s="26" t="s">
        <v>424</v>
      </c>
      <c r="C80" t="s">
        <v>360</v>
      </c>
      <c r="D80" t="s">
        <v>361</v>
      </c>
      <c r="E80">
        <v>2017</v>
      </c>
      <c r="F80" t="s">
        <v>224</v>
      </c>
      <c r="G80" s="4">
        <v>43173</v>
      </c>
      <c r="H80" t="s">
        <v>395</v>
      </c>
      <c r="I80">
        <v>15000</v>
      </c>
      <c r="J80">
        <v>15000</v>
      </c>
      <c r="K80">
        <v>1800</v>
      </c>
      <c r="L80">
        <v>550</v>
      </c>
      <c r="M80">
        <v>1250</v>
      </c>
    </row>
    <row r="81" spans="1:13">
      <c r="A81" t="s">
        <v>82</v>
      </c>
      <c r="B81" s="26" t="s">
        <v>426</v>
      </c>
      <c r="C81" t="s">
        <v>419</v>
      </c>
      <c r="D81" t="s">
        <v>344</v>
      </c>
      <c r="E81">
        <v>2017</v>
      </c>
      <c r="F81" t="s">
        <v>267</v>
      </c>
      <c r="G81" s="4">
        <v>43190</v>
      </c>
      <c r="H81" t="s">
        <v>268</v>
      </c>
      <c r="K81">
        <v>839</v>
      </c>
      <c r="L81">
        <v>257</v>
      </c>
      <c r="M81">
        <v>0</v>
      </c>
    </row>
    <row r="82" spans="1:13" hidden="1">
      <c r="A82" t="s">
        <v>82</v>
      </c>
      <c r="B82" s="26" t="s">
        <v>426</v>
      </c>
      <c r="C82" t="s">
        <v>419</v>
      </c>
      <c r="D82" t="s">
        <v>344</v>
      </c>
      <c r="E82">
        <v>2017</v>
      </c>
      <c r="F82" t="s">
        <v>269</v>
      </c>
      <c r="G82" s="4">
        <v>43190</v>
      </c>
      <c r="H82" t="s">
        <v>269</v>
      </c>
      <c r="K82">
        <v>10656</v>
      </c>
      <c r="L82">
        <v>3263</v>
      </c>
      <c r="M82">
        <v>5235</v>
      </c>
    </row>
    <row r="83" spans="1:13">
      <c r="A83" t="s">
        <v>82</v>
      </c>
      <c r="B83" s="26" t="s">
        <v>424</v>
      </c>
      <c r="C83" t="s">
        <v>360</v>
      </c>
      <c r="D83" t="s">
        <v>361</v>
      </c>
      <c r="E83">
        <v>2017</v>
      </c>
      <c r="F83" t="s">
        <v>267</v>
      </c>
      <c r="G83" s="4">
        <v>43190</v>
      </c>
      <c r="H83" t="s">
        <v>268</v>
      </c>
      <c r="K83">
        <v>4020</v>
      </c>
      <c r="L83">
        <v>1229</v>
      </c>
      <c r="M83">
        <v>0</v>
      </c>
    </row>
    <row r="84" spans="1:13" hidden="1">
      <c r="A84" t="s">
        <v>82</v>
      </c>
      <c r="B84" s="26" t="s">
        <v>424</v>
      </c>
      <c r="C84" t="s">
        <v>360</v>
      </c>
      <c r="D84" t="s">
        <v>361</v>
      </c>
      <c r="E84">
        <v>2017</v>
      </c>
      <c r="F84" t="s">
        <v>269</v>
      </c>
      <c r="G84" s="4">
        <v>43190</v>
      </c>
      <c r="H84" t="s">
        <v>269</v>
      </c>
      <c r="K84">
        <v>62736</v>
      </c>
      <c r="L84">
        <v>19184</v>
      </c>
      <c r="M84">
        <v>39034</v>
      </c>
    </row>
    <row r="85" spans="1:13">
      <c r="A85" t="s">
        <v>82</v>
      </c>
      <c r="B85" s="26" t="s">
        <v>427</v>
      </c>
      <c r="C85" t="s">
        <v>408</v>
      </c>
      <c r="D85" t="s">
        <v>409</v>
      </c>
      <c r="E85">
        <v>2017</v>
      </c>
      <c r="F85" t="s">
        <v>267</v>
      </c>
      <c r="G85" s="4">
        <v>43190</v>
      </c>
      <c r="H85" t="s">
        <v>268</v>
      </c>
      <c r="K85">
        <v>745</v>
      </c>
      <c r="L85">
        <v>228</v>
      </c>
      <c r="M85">
        <v>0</v>
      </c>
    </row>
    <row r="86" spans="1:13" hidden="1">
      <c r="A86" t="s">
        <v>82</v>
      </c>
      <c r="B86" s="26" t="s">
        <v>427</v>
      </c>
      <c r="C86" t="s">
        <v>408</v>
      </c>
      <c r="D86" t="s">
        <v>409</v>
      </c>
      <c r="E86">
        <v>2017</v>
      </c>
      <c r="F86" t="s">
        <v>269</v>
      </c>
      <c r="G86" s="4">
        <v>43190</v>
      </c>
      <c r="H86" t="s">
        <v>269</v>
      </c>
      <c r="K86">
        <v>9461</v>
      </c>
      <c r="L86">
        <v>2900</v>
      </c>
      <c r="M86">
        <v>5034</v>
      </c>
    </row>
    <row r="87" spans="1:13" hidden="1">
      <c r="A87" t="s">
        <v>82</v>
      </c>
      <c r="B87" s="26" t="s">
        <v>424</v>
      </c>
      <c r="C87" t="s">
        <v>360</v>
      </c>
      <c r="D87" t="s">
        <v>361</v>
      </c>
      <c r="E87">
        <v>2018</v>
      </c>
      <c r="F87" t="s">
        <v>224</v>
      </c>
      <c r="G87" s="4">
        <v>43203</v>
      </c>
      <c r="H87" t="s">
        <v>396</v>
      </c>
      <c r="I87">
        <v>15000</v>
      </c>
      <c r="J87">
        <v>15000</v>
      </c>
      <c r="K87">
        <v>1800</v>
      </c>
      <c r="L87">
        <v>550</v>
      </c>
      <c r="M87">
        <v>1250</v>
      </c>
    </row>
    <row r="88" spans="1:13" hidden="1">
      <c r="A88" t="s">
        <v>82</v>
      </c>
      <c r="B88" s="26" t="s">
        <v>424</v>
      </c>
      <c r="C88" t="s">
        <v>360</v>
      </c>
      <c r="D88" t="s">
        <v>361</v>
      </c>
      <c r="E88">
        <v>2018</v>
      </c>
      <c r="F88" t="s">
        <v>224</v>
      </c>
      <c r="G88" s="4">
        <v>43231</v>
      </c>
      <c r="H88" t="s">
        <v>397</v>
      </c>
      <c r="I88">
        <v>15000</v>
      </c>
      <c r="J88">
        <v>15000</v>
      </c>
      <c r="K88">
        <v>1800</v>
      </c>
      <c r="L88">
        <v>550</v>
      </c>
      <c r="M88">
        <v>1250</v>
      </c>
    </row>
    <row r="89" spans="1:13" hidden="1">
      <c r="A89" t="s">
        <v>82</v>
      </c>
      <c r="B89" s="26" t="s">
        <v>424</v>
      </c>
      <c r="C89" t="s">
        <v>360</v>
      </c>
      <c r="D89" t="s">
        <v>361</v>
      </c>
      <c r="E89">
        <v>2018</v>
      </c>
      <c r="F89" t="s">
        <v>224</v>
      </c>
      <c r="G89" s="4">
        <v>43262</v>
      </c>
      <c r="H89" t="s">
        <v>398</v>
      </c>
      <c r="I89">
        <v>15000</v>
      </c>
      <c r="J89">
        <v>15000</v>
      </c>
      <c r="K89">
        <v>1800</v>
      </c>
      <c r="L89">
        <v>550</v>
      </c>
      <c r="M89">
        <v>1250</v>
      </c>
    </row>
    <row r="90" spans="1:13" hidden="1">
      <c r="A90" t="s">
        <v>82</v>
      </c>
      <c r="B90" s="26" t="s">
        <v>424</v>
      </c>
      <c r="C90" t="s">
        <v>360</v>
      </c>
      <c r="D90" t="s">
        <v>361</v>
      </c>
      <c r="E90">
        <v>2018</v>
      </c>
      <c r="F90" t="s">
        <v>224</v>
      </c>
      <c r="G90" s="4">
        <v>43292</v>
      </c>
      <c r="H90" t="s">
        <v>399</v>
      </c>
      <c r="I90">
        <v>15000</v>
      </c>
      <c r="J90">
        <v>15000</v>
      </c>
      <c r="K90">
        <v>1800</v>
      </c>
      <c r="L90">
        <v>550</v>
      </c>
      <c r="M90">
        <v>1250</v>
      </c>
    </row>
    <row r="91" spans="1:13" hidden="1">
      <c r="A91" t="s">
        <v>82</v>
      </c>
      <c r="B91" s="26" t="s">
        <v>424</v>
      </c>
      <c r="C91" t="s">
        <v>360</v>
      </c>
      <c r="D91" t="s">
        <v>361</v>
      </c>
      <c r="E91">
        <v>2018</v>
      </c>
      <c r="F91" t="s">
        <v>224</v>
      </c>
      <c r="G91" s="4">
        <v>43322</v>
      </c>
      <c r="H91" t="s">
        <v>400</v>
      </c>
      <c r="I91">
        <v>15000</v>
      </c>
      <c r="J91">
        <v>15000</v>
      </c>
      <c r="K91">
        <v>1800</v>
      </c>
      <c r="L91">
        <v>550</v>
      </c>
      <c r="M91">
        <v>1250</v>
      </c>
    </row>
    <row r="92" spans="1:13" hidden="1">
      <c r="A92" t="s">
        <v>82</v>
      </c>
      <c r="B92" s="26" t="s">
        <v>424</v>
      </c>
      <c r="C92" t="s">
        <v>360</v>
      </c>
      <c r="D92" t="s">
        <v>361</v>
      </c>
      <c r="E92">
        <v>2018</v>
      </c>
      <c r="F92" t="s">
        <v>224</v>
      </c>
      <c r="G92" s="4">
        <v>43353</v>
      </c>
      <c r="H92" t="s">
        <v>401</v>
      </c>
      <c r="I92">
        <v>15000</v>
      </c>
      <c r="J92">
        <v>15000</v>
      </c>
      <c r="K92">
        <v>1800</v>
      </c>
      <c r="L92">
        <v>550</v>
      </c>
      <c r="M92">
        <v>1250</v>
      </c>
    </row>
    <row r="93" spans="1:13" hidden="1">
      <c r="A93" t="s">
        <v>82</v>
      </c>
      <c r="B93" s="26" t="s">
        <v>424</v>
      </c>
      <c r="C93" t="s">
        <v>360</v>
      </c>
      <c r="D93" t="s">
        <v>361</v>
      </c>
      <c r="E93">
        <v>2018</v>
      </c>
      <c r="F93" t="s">
        <v>224</v>
      </c>
      <c r="G93" s="4">
        <v>43383</v>
      </c>
      <c r="H93" t="s">
        <v>402</v>
      </c>
      <c r="I93">
        <v>15000</v>
      </c>
      <c r="J93">
        <v>15000</v>
      </c>
      <c r="K93">
        <v>1800</v>
      </c>
      <c r="L93">
        <v>550</v>
      </c>
      <c r="M93">
        <v>1250</v>
      </c>
    </row>
    <row r="94" spans="1:13" hidden="1">
      <c r="A94" t="s">
        <v>82</v>
      </c>
      <c r="B94" s="26" t="s">
        <v>424</v>
      </c>
      <c r="C94" t="s">
        <v>360</v>
      </c>
      <c r="D94" t="s">
        <v>361</v>
      </c>
      <c r="E94">
        <v>2018</v>
      </c>
      <c r="F94" t="s">
        <v>224</v>
      </c>
      <c r="G94" s="4">
        <v>43418</v>
      </c>
      <c r="H94" t="s">
        <v>403</v>
      </c>
      <c r="I94">
        <v>15000</v>
      </c>
      <c r="J94">
        <v>15000</v>
      </c>
      <c r="K94">
        <v>1800</v>
      </c>
      <c r="L94">
        <v>550</v>
      </c>
      <c r="M94">
        <v>1250</v>
      </c>
    </row>
    <row r="95" spans="1:13" hidden="1">
      <c r="A95" t="s">
        <v>82</v>
      </c>
      <c r="B95" s="26" t="s">
        <v>424</v>
      </c>
      <c r="C95" t="s">
        <v>360</v>
      </c>
      <c r="D95" t="s">
        <v>361</v>
      </c>
      <c r="E95">
        <v>2018</v>
      </c>
      <c r="F95" t="s">
        <v>224</v>
      </c>
      <c r="G95" s="4">
        <v>43444</v>
      </c>
      <c r="H95" t="s">
        <v>404</v>
      </c>
      <c r="I95">
        <v>15000</v>
      </c>
      <c r="J95">
        <v>15000</v>
      </c>
      <c r="K95">
        <v>1800</v>
      </c>
      <c r="L95">
        <v>550</v>
      </c>
      <c r="M95">
        <v>1250</v>
      </c>
    </row>
    <row r="96" spans="1:13" hidden="1">
      <c r="A96" t="s">
        <v>82</v>
      </c>
      <c r="B96" s="26" t="s">
        <v>424</v>
      </c>
      <c r="C96" t="s">
        <v>360</v>
      </c>
      <c r="D96" t="s">
        <v>361</v>
      </c>
      <c r="E96">
        <v>2018</v>
      </c>
      <c r="F96" t="s">
        <v>224</v>
      </c>
      <c r="G96" s="4">
        <v>43474</v>
      </c>
      <c r="H96" t="s">
        <v>405</v>
      </c>
      <c r="I96">
        <v>15000</v>
      </c>
      <c r="J96">
        <v>15000</v>
      </c>
      <c r="K96">
        <v>1800</v>
      </c>
      <c r="L96">
        <v>550</v>
      </c>
      <c r="M96">
        <v>1250</v>
      </c>
    </row>
    <row r="97" spans="1:13" hidden="1">
      <c r="A97" t="s">
        <v>82</v>
      </c>
      <c r="B97" s="26" t="s">
        <v>424</v>
      </c>
      <c r="C97" t="s">
        <v>360</v>
      </c>
      <c r="D97" t="s">
        <v>361</v>
      </c>
      <c r="E97">
        <v>2018</v>
      </c>
      <c r="F97" t="s">
        <v>224</v>
      </c>
      <c r="G97" s="4">
        <v>43503</v>
      </c>
      <c r="H97" t="s">
        <v>406</v>
      </c>
      <c r="I97">
        <v>15000</v>
      </c>
      <c r="J97">
        <v>15000</v>
      </c>
      <c r="K97">
        <v>1800</v>
      </c>
      <c r="L97">
        <v>550</v>
      </c>
      <c r="M97">
        <v>1250</v>
      </c>
    </row>
    <row r="98" spans="1:13" hidden="1">
      <c r="A98" t="s">
        <v>82</v>
      </c>
      <c r="B98" s="26" t="s">
        <v>424</v>
      </c>
      <c r="C98" t="s">
        <v>360</v>
      </c>
      <c r="D98" t="s">
        <v>361</v>
      </c>
      <c r="E98">
        <v>2018</v>
      </c>
      <c r="F98" t="s">
        <v>224</v>
      </c>
      <c r="G98" s="4">
        <v>43532</v>
      </c>
      <c r="H98" t="s">
        <v>407</v>
      </c>
      <c r="I98">
        <v>3534</v>
      </c>
      <c r="J98">
        <v>3534</v>
      </c>
      <c r="K98">
        <v>424</v>
      </c>
      <c r="L98">
        <v>130</v>
      </c>
      <c r="M98">
        <v>294</v>
      </c>
    </row>
    <row r="99" spans="1:13">
      <c r="A99" t="s">
        <v>82</v>
      </c>
      <c r="B99" s="26" t="s">
        <v>426</v>
      </c>
      <c r="C99" t="s">
        <v>419</v>
      </c>
      <c r="D99" t="s">
        <v>344</v>
      </c>
      <c r="E99">
        <v>2018</v>
      </c>
      <c r="F99" t="s">
        <v>267</v>
      </c>
      <c r="G99" s="4">
        <v>43555</v>
      </c>
      <c r="H99" t="s">
        <v>268</v>
      </c>
      <c r="K99">
        <v>922</v>
      </c>
      <c r="L99">
        <v>282</v>
      </c>
      <c r="M99">
        <v>0</v>
      </c>
    </row>
    <row r="100" spans="1:13" hidden="1">
      <c r="A100" t="s">
        <v>82</v>
      </c>
      <c r="B100" s="26" t="s">
        <v>426</v>
      </c>
      <c r="C100" t="s">
        <v>419</v>
      </c>
      <c r="D100" t="s">
        <v>344</v>
      </c>
      <c r="E100">
        <v>2018</v>
      </c>
      <c r="F100" t="s">
        <v>269</v>
      </c>
      <c r="G100" s="4">
        <v>43555</v>
      </c>
      <c r="H100" t="s">
        <v>269</v>
      </c>
      <c r="K100">
        <v>11578</v>
      </c>
      <c r="L100">
        <v>3545</v>
      </c>
      <c r="M100">
        <v>5235</v>
      </c>
    </row>
    <row r="101" spans="1:13" hidden="1">
      <c r="A101" t="s">
        <v>82</v>
      </c>
      <c r="B101" s="26" t="s">
        <v>424</v>
      </c>
      <c r="C101" t="s">
        <v>360</v>
      </c>
      <c r="D101" t="s">
        <v>361</v>
      </c>
      <c r="E101">
        <v>2018</v>
      </c>
      <c r="F101" t="s">
        <v>269</v>
      </c>
      <c r="G101" s="4">
        <v>43555</v>
      </c>
      <c r="H101" t="s">
        <v>269</v>
      </c>
      <c r="K101">
        <v>89170</v>
      </c>
      <c r="L101">
        <v>27263</v>
      </c>
      <c r="M101">
        <v>53078</v>
      </c>
    </row>
    <row r="102" spans="1:13">
      <c r="A102" t="s">
        <v>82</v>
      </c>
      <c r="B102" s="26" t="s">
        <v>427</v>
      </c>
      <c r="C102" t="s">
        <v>408</v>
      </c>
      <c r="D102" t="s">
        <v>409</v>
      </c>
      <c r="E102">
        <v>2018</v>
      </c>
      <c r="F102" t="s">
        <v>267</v>
      </c>
      <c r="G102" s="4">
        <v>43555</v>
      </c>
      <c r="H102" t="s">
        <v>268</v>
      </c>
      <c r="K102">
        <v>818</v>
      </c>
      <c r="L102">
        <v>251</v>
      </c>
      <c r="M102">
        <v>0</v>
      </c>
    </row>
    <row r="103" spans="1:13" hidden="1">
      <c r="A103" t="s">
        <v>82</v>
      </c>
      <c r="B103" s="26" t="s">
        <v>427</v>
      </c>
      <c r="C103" t="s">
        <v>408</v>
      </c>
      <c r="D103" t="s">
        <v>409</v>
      </c>
      <c r="E103">
        <v>2018</v>
      </c>
      <c r="F103" t="s">
        <v>269</v>
      </c>
      <c r="G103" s="4">
        <v>43555</v>
      </c>
      <c r="H103" t="s">
        <v>269</v>
      </c>
      <c r="K103">
        <v>10279</v>
      </c>
      <c r="L103">
        <v>3151</v>
      </c>
      <c r="M103">
        <v>5034</v>
      </c>
    </row>
    <row r="104" spans="1:13" hidden="1">
      <c r="A104" t="s">
        <v>82</v>
      </c>
      <c r="B104" s="26" t="s">
        <v>424</v>
      </c>
      <c r="C104" t="s">
        <v>425</v>
      </c>
      <c r="D104" t="s">
        <v>337</v>
      </c>
      <c r="E104">
        <v>2019</v>
      </c>
      <c r="F104" t="s">
        <v>224</v>
      </c>
      <c r="G104" s="4">
        <v>43628</v>
      </c>
      <c r="H104" t="s">
        <v>338</v>
      </c>
      <c r="I104">
        <v>4350</v>
      </c>
      <c r="J104">
        <v>4350</v>
      </c>
      <c r="K104">
        <v>522</v>
      </c>
      <c r="L104">
        <v>160</v>
      </c>
      <c r="M104">
        <v>362</v>
      </c>
    </row>
    <row r="105" spans="1:13" hidden="1">
      <c r="A105" t="s">
        <v>82</v>
      </c>
      <c r="B105" s="26" t="s">
        <v>424</v>
      </c>
      <c r="C105" t="s">
        <v>425</v>
      </c>
      <c r="D105" t="s">
        <v>337</v>
      </c>
      <c r="E105">
        <v>2019</v>
      </c>
      <c r="F105" t="s">
        <v>224</v>
      </c>
      <c r="G105" s="4">
        <v>43628</v>
      </c>
      <c r="H105" t="s">
        <v>338</v>
      </c>
      <c r="I105">
        <v>14500</v>
      </c>
      <c r="J105">
        <v>14500</v>
      </c>
      <c r="K105">
        <v>1740</v>
      </c>
      <c r="L105">
        <v>532</v>
      </c>
      <c r="M105">
        <v>1208</v>
      </c>
    </row>
    <row r="106" spans="1:13" hidden="1">
      <c r="A106" t="s">
        <v>82</v>
      </c>
      <c r="B106" s="26" t="s">
        <v>424</v>
      </c>
      <c r="C106" t="s">
        <v>425</v>
      </c>
      <c r="D106" t="s">
        <v>337</v>
      </c>
      <c r="E106">
        <v>2019</v>
      </c>
      <c r="F106" t="s">
        <v>224</v>
      </c>
      <c r="G106" s="4">
        <v>43661</v>
      </c>
      <c r="H106" t="s">
        <v>339</v>
      </c>
      <c r="I106">
        <v>15000</v>
      </c>
      <c r="J106">
        <v>15000</v>
      </c>
      <c r="K106">
        <v>1800</v>
      </c>
      <c r="L106">
        <v>550</v>
      </c>
      <c r="M106">
        <v>1250</v>
      </c>
    </row>
    <row r="107" spans="1:13" hidden="1">
      <c r="A107" t="s">
        <v>82</v>
      </c>
      <c r="B107" s="26" t="s">
        <v>424</v>
      </c>
      <c r="C107" t="s">
        <v>425</v>
      </c>
      <c r="D107" t="s">
        <v>337</v>
      </c>
      <c r="E107">
        <v>2019</v>
      </c>
      <c r="F107" t="s">
        <v>224</v>
      </c>
      <c r="G107" s="4">
        <v>43685</v>
      </c>
      <c r="H107" t="s">
        <v>340</v>
      </c>
      <c r="I107">
        <v>15000</v>
      </c>
      <c r="J107">
        <v>15000</v>
      </c>
      <c r="K107">
        <v>1800</v>
      </c>
      <c r="L107">
        <v>550</v>
      </c>
      <c r="M107">
        <v>1250</v>
      </c>
    </row>
    <row r="108" spans="1:13" hidden="1">
      <c r="A108" t="s">
        <v>82</v>
      </c>
      <c r="B108" s="26" t="s">
        <v>424</v>
      </c>
      <c r="C108" t="s">
        <v>425</v>
      </c>
      <c r="D108" t="s">
        <v>337</v>
      </c>
      <c r="E108">
        <v>2019</v>
      </c>
      <c r="F108" t="s">
        <v>224</v>
      </c>
      <c r="G108" s="4">
        <v>43717</v>
      </c>
      <c r="H108" t="s">
        <v>341</v>
      </c>
      <c r="I108">
        <v>15000</v>
      </c>
      <c r="J108">
        <v>15000</v>
      </c>
      <c r="K108">
        <v>1800</v>
      </c>
      <c r="L108">
        <v>550</v>
      </c>
      <c r="M108">
        <v>1250</v>
      </c>
    </row>
    <row r="109" spans="1:13" hidden="1">
      <c r="A109" t="s">
        <v>82</v>
      </c>
      <c r="B109" s="26" t="s">
        <v>424</v>
      </c>
      <c r="C109" t="s">
        <v>425</v>
      </c>
      <c r="D109" t="s">
        <v>337</v>
      </c>
      <c r="E109">
        <v>2019</v>
      </c>
      <c r="F109" t="s">
        <v>224</v>
      </c>
      <c r="G109" s="4">
        <v>43747</v>
      </c>
      <c r="H109" t="s">
        <v>342</v>
      </c>
      <c r="I109">
        <v>15000</v>
      </c>
      <c r="J109">
        <v>15000</v>
      </c>
      <c r="K109">
        <v>1800</v>
      </c>
      <c r="L109">
        <v>550</v>
      </c>
      <c r="M109">
        <v>1250</v>
      </c>
    </row>
    <row r="110" spans="1:13" hidden="1">
      <c r="A110" t="s">
        <v>82</v>
      </c>
      <c r="B110" s="26" t="s">
        <v>424</v>
      </c>
      <c r="C110" t="s">
        <v>425</v>
      </c>
      <c r="D110" t="s">
        <v>337</v>
      </c>
      <c r="E110">
        <v>2019</v>
      </c>
      <c r="F110" t="s">
        <v>224</v>
      </c>
      <c r="G110" s="4">
        <v>43775</v>
      </c>
      <c r="H110" t="s">
        <v>343</v>
      </c>
      <c r="I110">
        <v>15000</v>
      </c>
      <c r="J110">
        <v>15000</v>
      </c>
      <c r="K110">
        <v>1800</v>
      </c>
      <c r="L110">
        <v>550</v>
      </c>
      <c r="M110">
        <v>1250</v>
      </c>
    </row>
    <row r="111" spans="1:13" hidden="1">
      <c r="A111" t="s">
        <v>82</v>
      </c>
      <c r="B111" s="26" t="s">
        <v>424</v>
      </c>
      <c r="C111" t="s">
        <v>425</v>
      </c>
      <c r="D111" t="s">
        <v>337</v>
      </c>
      <c r="E111">
        <v>2019</v>
      </c>
      <c r="F111" t="s">
        <v>224</v>
      </c>
      <c r="G111" s="4">
        <v>43804</v>
      </c>
      <c r="H111" t="s">
        <v>263</v>
      </c>
      <c r="I111">
        <v>5200</v>
      </c>
      <c r="J111">
        <v>5200</v>
      </c>
      <c r="K111">
        <v>624</v>
      </c>
      <c r="L111">
        <v>191</v>
      </c>
      <c r="M111">
        <v>433</v>
      </c>
    </row>
    <row r="112" spans="1:13" hidden="1">
      <c r="A112" t="s">
        <v>14</v>
      </c>
      <c r="B112" s="26" t="s">
        <v>423</v>
      </c>
      <c r="C112" t="s">
        <v>261</v>
      </c>
      <c r="D112" t="s">
        <v>262</v>
      </c>
      <c r="E112">
        <v>2019</v>
      </c>
      <c r="F112" t="s">
        <v>224</v>
      </c>
      <c r="G112" s="4">
        <v>43809</v>
      </c>
      <c r="H112" t="s">
        <v>263</v>
      </c>
      <c r="I112">
        <v>92603</v>
      </c>
      <c r="J112">
        <v>15000</v>
      </c>
      <c r="K112">
        <v>11112</v>
      </c>
      <c r="L112">
        <v>9862</v>
      </c>
      <c r="M112">
        <v>1250</v>
      </c>
    </row>
    <row r="113" spans="1:13" hidden="1">
      <c r="A113" t="s">
        <v>14</v>
      </c>
      <c r="B113" s="26" t="s">
        <v>423</v>
      </c>
      <c r="C113" t="s">
        <v>261</v>
      </c>
      <c r="D113" t="s">
        <v>262</v>
      </c>
      <c r="E113">
        <v>2019</v>
      </c>
      <c r="F113" t="s">
        <v>224</v>
      </c>
      <c r="G113" s="4">
        <v>43840</v>
      </c>
      <c r="H113" t="s">
        <v>264</v>
      </c>
      <c r="I113">
        <v>68350</v>
      </c>
      <c r="J113">
        <v>15000</v>
      </c>
      <c r="K113">
        <v>8202</v>
      </c>
      <c r="L113">
        <v>6952</v>
      </c>
      <c r="M113">
        <v>1250</v>
      </c>
    </row>
    <row r="114" spans="1:13" hidden="1">
      <c r="A114" t="s">
        <v>14</v>
      </c>
      <c r="B114" s="26" t="s">
        <v>423</v>
      </c>
      <c r="C114" t="s">
        <v>261</v>
      </c>
      <c r="D114" t="s">
        <v>262</v>
      </c>
      <c r="E114">
        <v>2019</v>
      </c>
      <c r="F114" t="s">
        <v>224</v>
      </c>
      <c r="G114" s="4">
        <v>43872</v>
      </c>
      <c r="H114" t="s">
        <v>265</v>
      </c>
      <c r="I114">
        <v>68350</v>
      </c>
      <c r="J114">
        <v>15000</v>
      </c>
      <c r="K114">
        <v>8202</v>
      </c>
      <c r="L114">
        <v>6952</v>
      </c>
      <c r="M114">
        <v>1250</v>
      </c>
    </row>
    <row r="115" spans="1:13" hidden="1">
      <c r="A115" t="s">
        <v>14</v>
      </c>
      <c r="B115" s="26" t="s">
        <v>423</v>
      </c>
      <c r="C115" t="s">
        <v>261</v>
      </c>
      <c r="D115" t="s">
        <v>262</v>
      </c>
      <c r="E115">
        <v>2019</v>
      </c>
      <c r="F115" t="s">
        <v>224</v>
      </c>
      <c r="G115" s="4">
        <v>43901</v>
      </c>
      <c r="H115" t="s">
        <v>266</v>
      </c>
      <c r="I115">
        <v>68350</v>
      </c>
      <c r="J115">
        <v>15000</v>
      </c>
      <c r="K115">
        <v>8202</v>
      </c>
      <c r="L115">
        <v>6952</v>
      </c>
      <c r="M115">
        <v>1250</v>
      </c>
    </row>
    <row r="116" spans="1:13">
      <c r="A116" t="s">
        <v>14</v>
      </c>
      <c r="B116" s="26" t="s">
        <v>423</v>
      </c>
      <c r="C116" t="s">
        <v>261</v>
      </c>
      <c r="D116" t="s">
        <v>262</v>
      </c>
      <c r="E116">
        <v>2019</v>
      </c>
      <c r="F116" t="s">
        <v>267</v>
      </c>
      <c r="G116" s="4">
        <v>43921</v>
      </c>
      <c r="H116" t="s">
        <v>268</v>
      </c>
      <c r="K116">
        <v>410</v>
      </c>
      <c r="L116">
        <v>357</v>
      </c>
      <c r="M116">
        <v>0</v>
      </c>
    </row>
    <row r="117" spans="1:13" hidden="1">
      <c r="A117" t="s">
        <v>14</v>
      </c>
      <c r="B117" s="26" t="s">
        <v>423</v>
      </c>
      <c r="C117" t="s">
        <v>261</v>
      </c>
      <c r="D117" t="s">
        <v>262</v>
      </c>
      <c r="E117">
        <v>2019</v>
      </c>
      <c r="F117" t="s">
        <v>269</v>
      </c>
      <c r="G117" s="4">
        <v>43921</v>
      </c>
      <c r="H117" t="s">
        <v>269</v>
      </c>
      <c r="K117">
        <v>36128</v>
      </c>
      <c r="L117">
        <v>31075</v>
      </c>
      <c r="M117">
        <v>5000</v>
      </c>
    </row>
    <row r="118" spans="1:13">
      <c r="A118" t="s">
        <v>82</v>
      </c>
      <c r="B118" s="26" t="s">
        <v>424</v>
      </c>
      <c r="C118" t="s">
        <v>425</v>
      </c>
      <c r="D118" t="s">
        <v>337</v>
      </c>
      <c r="E118">
        <v>2019</v>
      </c>
      <c r="F118" t="s">
        <v>267</v>
      </c>
      <c r="G118" s="4">
        <v>43921</v>
      </c>
      <c r="H118" t="s">
        <v>268</v>
      </c>
      <c r="K118">
        <v>6225</v>
      </c>
      <c r="L118">
        <v>1903</v>
      </c>
      <c r="M118">
        <v>0</v>
      </c>
    </row>
    <row r="119" spans="1:13" hidden="1">
      <c r="A119" t="s">
        <v>82</v>
      </c>
      <c r="B119" s="26" t="s">
        <v>424</v>
      </c>
      <c r="C119" t="s">
        <v>425</v>
      </c>
      <c r="D119" t="s">
        <v>337</v>
      </c>
      <c r="E119">
        <v>2019</v>
      </c>
      <c r="F119" t="s">
        <v>269</v>
      </c>
      <c r="G119" s="4">
        <v>43921</v>
      </c>
      <c r="H119" t="s">
        <v>269</v>
      </c>
      <c r="K119">
        <v>109187</v>
      </c>
      <c r="L119">
        <v>33382</v>
      </c>
      <c r="M119">
        <v>8253</v>
      </c>
    </row>
    <row r="120" spans="1:13">
      <c r="A120" t="s">
        <v>82</v>
      </c>
      <c r="B120" s="26" t="s">
        <v>426</v>
      </c>
      <c r="C120" t="s">
        <v>419</v>
      </c>
      <c r="D120" t="s">
        <v>344</v>
      </c>
      <c r="E120">
        <v>2019</v>
      </c>
      <c r="F120" t="s">
        <v>267</v>
      </c>
      <c r="G120" s="4">
        <v>43921</v>
      </c>
      <c r="H120" t="s">
        <v>268</v>
      </c>
      <c r="K120">
        <v>984</v>
      </c>
      <c r="L120">
        <v>301</v>
      </c>
      <c r="M120">
        <v>0</v>
      </c>
    </row>
    <row r="121" spans="1:13" hidden="1">
      <c r="A121" t="s">
        <v>82</v>
      </c>
      <c r="B121" s="26" t="s">
        <v>426</v>
      </c>
      <c r="C121" t="s">
        <v>419</v>
      </c>
      <c r="D121" t="s">
        <v>344</v>
      </c>
      <c r="E121">
        <v>2019</v>
      </c>
      <c r="F121" t="s">
        <v>269</v>
      </c>
      <c r="G121" s="4">
        <v>43921</v>
      </c>
      <c r="H121" t="s">
        <v>269</v>
      </c>
      <c r="K121">
        <v>12562</v>
      </c>
      <c r="L121">
        <v>3846</v>
      </c>
      <c r="M121">
        <v>5235</v>
      </c>
    </row>
    <row r="122" spans="1:13" hidden="1">
      <c r="A122" t="s">
        <v>82</v>
      </c>
      <c r="B122" s="26" t="s">
        <v>424</v>
      </c>
      <c r="C122" t="s">
        <v>360</v>
      </c>
      <c r="D122" t="s">
        <v>361</v>
      </c>
      <c r="E122">
        <v>2019</v>
      </c>
      <c r="F122" t="s">
        <v>269</v>
      </c>
      <c r="G122" s="4">
        <v>43921</v>
      </c>
      <c r="H122" t="s">
        <v>269</v>
      </c>
      <c r="K122">
        <v>0</v>
      </c>
      <c r="L122">
        <v>0</v>
      </c>
      <c r="M122">
        <v>53078</v>
      </c>
    </row>
    <row r="123" spans="1:13">
      <c r="A123" t="s">
        <v>82</v>
      </c>
      <c r="B123" s="26" t="s">
        <v>427</v>
      </c>
      <c r="C123" t="s">
        <v>408</v>
      </c>
      <c r="D123" t="s">
        <v>409</v>
      </c>
      <c r="E123">
        <v>2019</v>
      </c>
      <c r="F123" t="s">
        <v>267</v>
      </c>
      <c r="G123" s="4">
        <v>43921</v>
      </c>
      <c r="H123" t="s">
        <v>268</v>
      </c>
      <c r="K123">
        <v>874</v>
      </c>
      <c r="L123">
        <v>268</v>
      </c>
      <c r="M123">
        <v>0</v>
      </c>
    </row>
    <row r="124" spans="1:13" hidden="1">
      <c r="A124" t="s">
        <v>82</v>
      </c>
      <c r="B124" s="26" t="s">
        <v>427</v>
      </c>
      <c r="C124" t="s">
        <v>408</v>
      </c>
      <c r="D124" t="s">
        <v>409</v>
      </c>
      <c r="E124">
        <v>2019</v>
      </c>
      <c r="F124" t="s">
        <v>269</v>
      </c>
      <c r="G124" s="4">
        <v>43921</v>
      </c>
      <c r="H124" t="s">
        <v>269</v>
      </c>
      <c r="K124">
        <v>11153</v>
      </c>
      <c r="L124">
        <v>3419</v>
      </c>
      <c r="M124">
        <v>5034</v>
      </c>
    </row>
    <row r="125" spans="1:13" hidden="1">
      <c r="A125" t="s">
        <v>14</v>
      </c>
      <c r="B125" s="26" t="s">
        <v>423</v>
      </c>
      <c r="C125" t="s">
        <v>261</v>
      </c>
      <c r="D125" t="s">
        <v>262</v>
      </c>
      <c r="E125">
        <v>2020</v>
      </c>
      <c r="F125" t="s">
        <v>224</v>
      </c>
      <c r="G125" s="4">
        <v>43927</v>
      </c>
      <c r="H125" t="s">
        <v>270</v>
      </c>
      <c r="I125">
        <v>68350</v>
      </c>
      <c r="J125">
        <v>15000</v>
      </c>
      <c r="K125">
        <v>8202</v>
      </c>
      <c r="L125">
        <v>6952</v>
      </c>
      <c r="M125">
        <v>1250</v>
      </c>
    </row>
    <row r="126" spans="1:13" hidden="1">
      <c r="A126" t="s">
        <v>14</v>
      </c>
      <c r="B126" s="26" t="s">
        <v>423</v>
      </c>
      <c r="C126" t="s">
        <v>261</v>
      </c>
      <c r="D126" t="s">
        <v>262</v>
      </c>
      <c r="E126">
        <v>2020</v>
      </c>
      <c r="F126" t="s">
        <v>224</v>
      </c>
      <c r="G126" s="4">
        <v>43957</v>
      </c>
      <c r="H126" t="s">
        <v>271</v>
      </c>
      <c r="I126">
        <v>68350</v>
      </c>
      <c r="J126">
        <v>15000</v>
      </c>
      <c r="K126">
        <v>8202</v>
      </c>
      <c r="L126">
        <v>6952</v>
      </c>
      <c r="M126">
        <v>1250</v>
      </c>
    </row>
    <row r="127" spans="1:13" hidden="1">
      <c r="A127" t="s">
        <v>14</v>
      </c>
      <c r="B127" s="26" t="s">
        <v>423</v>
      </c>
      <c r="C127" t="s">
        <v>261</v>
      </c>
      <c r="D127" t="s">
        <v>262</v>
      </c>
      <c r="E127">
        <v>2020</v>
      </c>
      <c r="F127" t="s">
        <v>224</v>
      </c>
      <c r="G127" s="4">
        <v>43992</v>
      </c>
      <c r="H127" t="s">
        <v>272</v>
      </c>
      <c r="I127">
        <v>68350</v>
      </c>
      <c r="J127">
        <v>15000</v>
      </c>
      <c r="K127">
        <v>6835</v>
      </c>
      <c r="L127">
        <v>5585</v>
      </c>
      <c r="M127">
        <v>1250</v>
      </c>
    </row>
    <row r="128" spans="1:13" hidden="1">
      <c r="A128" t="s">
        <v>14</v>
      </c>
      <c r="B128" s="26" t="s">
        <v>423</v>
      </c>
      <c r="C128" t="s">
        <v>261</v>
      </c>
      <c r="D128" t="s">
        <v>262</v>
      </c>
      <c r="E128">
        <v>2020</v>
      </c>
      <c r="F128" t="s">
        <v>224</v>
      </c>
      <c r="G128" s="4">
        <v>44020</v>
      </c>
      <c r="H128" t="s">
        <v>273</v>
      </c>
      <c r="I128">
        <v>68350</v>
      </c>
      <c r="J128">
        <v>15000</v>
      </c>
      <c r="K128">
        <v>6835</v>
      </c>
      <c r="L128">
        <v>5585</v>
      </c>
      <c r="M128">
        <v>1250</v>
      </c>
    </row>
    <row r="129" spans="1:13" hidden="1">
      <c r="A129" t="s">
        <v>14</v>
      </c>
      <c r="B129" s="26" t="s">
        <v>423</v>
      </c>
      <c r="C129" t="s">
        <v>261</v>
      </c>
      <c r="D129" t="s">
        <v>262</v>
      </c>
      <c r="E129">
        <v>2020</v>
      </c>
      <c r="F129" t="s">
        <v>224</v>
      </c>
      <c r="G129" s="4">
        <v>44055</v>
      </c>
      <c r="H129" t="s">
        <v>274</v>
      </c>
      <c r="I129">
        <v>68350</v>
      </c>
      <c r="J129">
        <v>15000</v>
      </c>
      <c r="K129">
        <v>6835</v>
      </c>
      <c r="L129">
        <v>5585</v>
      </c>
      <c r="M129">
        <v>1250</v>
      </c>
    </row>
    <row r="130" spans="1:13" hidden="1">
      <c r="A130" t="s">
        <v>14</v>
      </c>
      <c r="B130" s="26" t="s">
        <v>423</v>
      </c>
      <c r="C130" t="s">
        <v>261</v>
      </c>
      <c r="D130" t="s">
        <v>262</v>
      </c>
      <c r="E130">
        <v>2020</v>
      </c>
      <c r="F130" t="s">
        <v>224</v>
      </c>
      <c r="G130" s="4">
        <v>44081</v>
      </c>
      <c r="H130" t="s">
        <v>275</v>
      </c>
      <c r="I130">
        <v>68350</v>
      </c>
      <c r="J130">
        <v>15000</v>
      </c>
      <c r="K130">
        <v>8202</v>
      </c>
      <c r="L130">
        <v>6952</v>
      </c>
      <c r="M130">
        <v>1250</v>
      </c>
    </row>
    <row r="131" spans="1:13" hidden="1">
      <c r="A131" t="s">
        <v>14</v>
      </c>
      <c r="B131" s="26" t="s">
        <v>423</v>
      </c>
      <c r="C131" t="s">
        <v>261</v>
      </c>
      <c r="D131" t="s">
        <v>262</v>
      </c>
      <c r="E131">
        <v>2020</v>
      </c>
      <c r="F131" t="s">
        <v>224</v>
      </c>
      <c r="G131" s="4">
        <v>44110</v>
      </c>
      <c r="H131" t="s">
        <v>276</v>
      </c>
      <c r="I131">
        <v>68350</v>
      </c>
      <c r="J131">
        <v>15000</v>
      </c>
      <c r="K131">
        <v>8202</v>
      </c>
      <c r="L131">
        <v>6952</v>
      </c>
      <c r="M131">
        <v>1250</v>
      </c>
    </row>
    <row r="132" spans="1:13" hidden="1">
      <c r="A132" t="s">
        <v>14</v>
      </c>
      <c r="B132" s="26" t="s">
        <v>423</v>
      </c>
      <c r="C132" t="s">
        <v>261</v>
      </c>
      <c r="D132" t="s">
        <v>262</v>
      </c>
      <c r="E132">
        <v>2020</v>
      </c>
      <c r="F132" t="s">
        <v>224</v>
      </c>
      <c r="G132" s="4">
        <v>44144</v>
      </c>
      <c r="H132" t="s">
        <v>277</v>
      </c>
      <c r="I132">
        <v>68350</v>
      </c>
      <c r="J132">
        <v>15000</v>
      </c>
      <c r="K132">
        <v>8202</v>
      </c>
      <c r="L132">
        <v>6952</v>
      </c>
      <c r="M132">
        <v>1250</v>
      </c>
    </row>
    <row r="133" spans="1:13" hidden="1">
      <c r="A133" t="s">
        <v>14</v>
      </c>
      <c r="B133" s="26" t="s">
        <v>423</v>
      </c>
      <c r="C133" t="s">
        <v>261</v>
      </c>
      <c r="D133" t="s">
        <v>262</v>
      </c>
      <c r="E133">
        <v>2020</v>
      </c>
      <c r="F133" t="s">
        <v>224</v>
      </c>
      <c r="G133" s="4">
        <v>44176</v>
      </c>
      <c r="H133" t="s">
        <v>278</v>
      </c>
      <c r="I133">
        <v>68350</v>
      </c>
      <c r="J133">
        <v>15000</v>
      </c>
      <c r="K133">
        <v>8202</v>
      </c>
      <c r="L133">
        <v>6952</v>
      </c>
      <c r="M133">
        <v>1250</v>
      </c>
    </row>
    <row r="134" spans="1:13" hidden="1">
      <c r="A134" t="s">
        <v>14</v>
      </c>
      <c r="B134" s="26" t="s">
        <v>423</v>
      </c>
      <c r="C134" t="s">
        <v>261</v>
      </c>
      <c r="D134" t="s">
        <v>262</v>
      </c>
      <c r="E134">
        <v>2020</v>
      </c>
      <c r="F134" t="s">
        <v>224</v>
      </c>
      <c r="G134" s="4">
        <v>44208</v>
      </c>
      <c r="H134" t="s">
        <v>279</v>
      </c>
      <c r="I134">
        <v>68350</v>
      </c>
      <c r="J134">
        <v>15000</v>
      </c>
      <c r="K134">
        <v>8202</v>
      </c>
      <c r="L134">
        <v>6952</v>
      </c>
      <c r="M134">
        <v>1250</v>
      </c>
    </row>
    <row r="135" spans="1:13" hidden="1">
      <c r="A135" t="s">
        <v>14</v>
      </c>
      <c r="B135" s="26" t="s">
        <v>423</v>
      </c>
      <c r="C135" t="s">
        <v>261</v>
      </c>
      <c r="D135" t="s">
        <v>262</v>
      </c>
      <c r="E135">
        <v>2020</v>
      </c>
      <c r="F135" t="s">
        <v>224</v>
      </c>
      <c r="G135" s="4">
        <v>44237</v>
      </c>
      <c r="H135" t="s">
        <v>280</v>
      </c>
      <c r="I135">
        <v>68350</v>
      </c>
      <c r="J135">
        <v>15000</v>
      </c>
      <c r="K135">
        <v>8202</v>
      </c>
      <c r="L135">
        <v>6952</v>
      </c>
      <c r="M135">
        <v>1250</v>
      </c>
    </row>
    <row r="136" spans="1:13" hidden="1">
      <c r="A136" t="s">
        <v>14</v>
      </c>
      <c r="B136" s="26" t="s">
        <v>423</v>
      </c>
      <c r="C136" t="s">
        <v>261</v>
      </c>
      <c r="D136" t="s">
        <v>262</v>
      </c>
      <c r="E136">
        <v>2020</v>
      </c>
      <c r="F136" t="s">
        <v>224</v>
      </c>
      <c r="G136" s="4">
        <v>44264</v>
      </c>
      <c r="H136" t="s">
        <v>281</v>
      </c>
      <c r="I136">
        <v>68350</v>
      </c>
      <c r="J136">
        <v>15000</v>
      </c>
      <c r="K136">
        <v>8202</v>
      </c>
      <c r="L136">
        <v>6952</v>
      </c>
      <c r="M136">
        <v>1250</v>
      </c>
    </row>
    <row r="137" spans="1:13">
      <c r="A137" t="s">
        <v>14</v>
      </c>
      <c r="B137" s="26" t="s">
        <v>423</v>
      </c>
      <c r="C137" t="s">
        <v>261</v>
      </c>
      <c r="D137" t="s">
        <v>262</v>
      </c>
      <c r="E137">
        <v>2020</v>
      </c>
      <c r="F137" t="s">
        <v>267</v>
      </c>
      <c r="G137" s="4">
        <v>44286</v>
      </c>
      <c r="H137" t="s">
        <v>268</v>
      </c>
      <c r="K137">
        <v>6673</v>
      </c>
      <c r="L137">
        <v>5659</v>
      </c>
      <c r="M137">
        <v>0</v>
      </c>
    </row>
    <row r="138" spans="1:13" hidden="1">
      <c r="A138" t="s">
        <v>14</v>
      </c>
      <c r="B138" s="26" t="s">
        <v>423</v>
      </c>
      <c r="C138" t="s">
        <v>261</v>
      </c>
      <c r="D138" t="s">
        <v>262</v>
      </c>
      <c r="E138">
        <v>2020</v>
      </c>
      <c r="F138" t="s">
        <v>269</v>
      </c>
      <c r="G138" s="4">
        <v>44286</v>
      </c>
      <c r="H138" t="s">
        <v>269</v>
      </c>
      <c r="K138">
        <v>137124</v>
      </c>
      <c r="L138">
        <v>116057</v>
      </c>
      <c r="M138">
        <v>20000</v>
      </c>
    </row>
    <row r="139" spans="1:13">
      <c r="A139" t="s">
        <v>82</v>
      </c>
      <c r="B139" s="26" t="s">
        <v>424</v>
      </c>
      <c r="C139" t="s">
        <v>425</v>
      </c>
      <c r="D139" t="s">
        <v>337</v>
      </c>
      <c r="E139">
        <v>2020</v>
      </c>
      <c r="F139" t="s">
        <v>267</v>
      </c>
      <c r="G139" s="4">
        <v>44286</v>
      </c>
      <c r="H139" t="s">
        <v>268</v>
      </c>
      <c r="K139">
        <v>9281</v>
      </c>
      <c r="L139">
        <v>2837</v>
      </c>
      <c r="M139">
        <v>0</v>
      </c>
    </row>
    <row r="140" spans="1:13" hidden="1">
      <c r="A140" t="s">
        <v>82</v>
      </c>
      <c r="B140" s="26" t="s">
        <v>424</v>
      </c>
      <c r="C140" t="s">
        <v>425</v>
      </c>
      <c r="D140" t="s">
        <v>337</v>
      </c>
      <c r="E140">
        <v>2020</v>
      </c>
      <c r="F140" t="s">
        <v>269</v>
      </c>
      <c r="G140" s="4">
        <v>44286</v>
      </c>
      <c r="H140" t="s">
        <v>269</v>
      </c>
      <c r="K140">
        <v>118468</v>
      </c>
      <c r="L140">
        <v>36219</v>
      </c>
      <c r="M140">
        <v>8253</v>
      </c>
    </row>
    <row r="141" spans="1:13">
      <c r="A141" t="s">
        <v>82</v>
      </c>
      <c r="B141" s="26" t="s">
        <v>426</v>
      </c>
      <c r="C141" t="s">
        <v>419</v>
      </c>
      <c r="D141" t="s">
        <v>344</v>
      </c>
      <c r="E141">
        <v>2020</v>
      </c>
      <c r="F141" t="s">
        <v>267</v>
      </c>
      <c r="G141" s="4">
        <v>44286</v>
      </c>
      <c r="H141" t="s">
        <v>268</v>
      </c>
      <c r="K141">
        <v>1068</v>
      </c>
      <c r="L141">
        <v>327</v>
      </c>
      <c r="M141">
        <v>0</v>
      </c>
    </row>
    <row r="142" spans="1:13" hidden="1">
      <c r="A142" t="s">
        <v>82</v>
      </c>
      <c r="B142" s="26" t="s">
        <v>426</v>
      </c>
      <c r="C142" t="s">
        <v>419</v>
      </c>
      <c r="D142" t="s">
        <v>344</v>
      </c>
      <c r="E142">
        <v>2020</v>
      </c>
      <c r="F142" t="s">
        <v>269</v>
      </c>
      <c r="G142" s="4">
        <v>44286</v>
      </c>
      <c r="H142" t="s">
        <v>269</v>
      </c>
      <c r="K142">
        <v>13630</v>
      </c>
      <c r="L142">
        <v>4173</v>
      </c>
      <c r="M142">
        <v>5235</v>
      </c>
    </row>
    <row r="143" spans="1:13">
      <c r="A143" t="s">
        <v>82</v>
      </c>
      <c r="B143" s="26" t="s">
        <v>427</v>
      </c>
      <c r="C143" t="s">
        <v>408</v>
      </c>
      <c r="D143" t="s">
        <v>409</v>
      </c>
      <c r="E143">
        <v>2020</v>
      </c>
      <c r="F143" t="s">
        <v>267</v>
      </c>
      <c r="G143" s="4">
        <v>44286</v>
      </c>
      <c r="H143" t="s">
        <v>268</v>
      </c>
      <c r="K143">
        <v>948</v>
      </c>
      <c r="L143">
        <v>291</v>
      </c>
      <c r="M143">
        <v>0</v>
      </c>
    </row>
    <row r="144" spans="1:13" hidden="1">
      <c r="A144" t="s">
        <v>82</v>
      </c>
      <c r="B144" s="26" t="s">
        <v>427</v>
      </c>
      <c r="C144" t="s">
        <v>408</v>
      </c>
      <c r="D144" t="s">
        <v>409</v>
      </c>
      <c r="E144">
        <v>2020</v>
      </c>
      <c r="F144" t="s">
        <v>269</v>
      </c>
      <c r="G144" s="4">
        <v>44286</v>
      </c>
      <c r="H144" t="s">
        <v>269</v>
      </c>
      <c r="K144">
        <v>12101</v>
      </c>
      <c r="L144">
        <v>3710</v>
      </c>
      <c r="M144">
        <v>5034</v>
      </c>
    </row>
    <row r="145" spans="1:13" hidden="1">
      <c r="A145" t="s">
        <v>14</v>
      </c>
      <c r="B145" s="26" t="s">
        <v>423</v>
      </c>
      <c r="C145" t="s">
        <v>261</v>
      </c>
      <c r="D145" t="s">
        <v>262</v>
      </c>
      <c r="E145">
        <v>2021</v>
      </c>
      <c r="F145" t="s">
        <v>224</v>
      </c>
      <c r="G145" s="4">
        <v>44298</v>
      </c>
      <c r="H145" t="s">
        <v>282</v>
      </c>
      <c r="I145">
        <v>68350</v>
      </c>
      <c r="J145">
        <v>15000</v>
      </c>
      <c r="K145">
        <v>8202</v>
      </c>
      <c r="L145">
        <v>6952</v>
      </c>
      <c r="M145">
        <v>1250</v>
      </c>
    </row>
    <row r="146" spans="1:13" hidden="1">
      <c r="A146" t="s">
        <v>14</v>
      </c>
      <c r="B146" s="26" t="s">
        <v>423</v>
      </c>
      <c r="C146" t="s">
        <v>261</v>
      </c>
      <c r="D146" t="s">
        <v>262</v>
      </c>
      <c r="E146">
        <v>2021</v>
      </c>
      <c r="F146" t="s">
        <v>224</v>
      </c>
      <c r="G146" s="4">
        <v>44322</v>
      </c>
      <c r="H146" t="s">
        <v>283</v>
      </c>
      <c r="I146">
        <v>68350</v>
      </c>
      <c r="J146">
        <v>15000</v>
      </c>
      <c r="K146">
        <v>8202</v>
      </c>
      <c r="L146">
        <v>6952</v>
      </c>
      <c r="M146">
        <v>1250</v>
      </c>
    </row>
    <row r="147" spans="1:13" hidden="1">
      <c r="A147" t="s">
        <v>14</v>
      </c>
      <c r="B147" s="26" t="s">
        <v>423</v>
      </c>
      <c r="C147" t="s">
        <v>261</v>
      </c>
      <c r="D147" t="s">
        <v>262</v>
      </c>
      <c r="E147">
        <v>2021</v>
      </c>
      <c r="F147" t="s">
        <v>224</v>
      </c>
      <c r="G147" s="4">
        <v>44358</v>
      </c>
      <c r="H147" t="s">
        <v>284</v>
      </c>
      <c r="I147">
        <v>78603</v>
      </c>
      <c r="J147">
        <v>15000</v>
      </c>
      <c r="K147">
        <v>9432</v>
      </c>
      <c r="L147">
        <v>8182</v>
      </c>
      <c r="M147">
        <v>1250</v>
      </c>
    </row>
    <row r="148" spans="1:13" hidden="1">
      <c r="A148" t="s">
        <v>14</v>
      </c>
      <c r="B148" s="26" t="s">
        <v>423</v>
      </c>
      <c r="C148" t="s">
        <v>261</v>
      </c>
      <c r="D148" t="s">
        <v>262</v>
      </c>
      <c r="E148">
        <v>2021</v>
      </c>
      <c r="F148" t="s">
        <v>224</v>
      </c>
      <c r="G148" s="4">
        <v>44391</v>
      </c>
      <c r="H148" t="s">
        <v>285</v>
      </c>
      <c r="I148">
        <v>78603</v>
      </c>
      <c r="J148">
        <v>15000</v>
      </c>
      <c r="K148">
        <v>9432</v>
      </c>
      <c r="L148">
        <v>8182</v>
      </c>
      <c r="M148">
        <v>1250</v>
      </c>
    </row>
    <row r="149" spans="1:13" hidden="1">
      <c r="A149" t="s">
        <v>14</v>
      </c>
      <c r="B149" s="26" t="s">
        <v>423</v>
      </c>
      <c r="C149" t="s">
        <v>261</v>
      </c>
      <c r="D149" t="s">
        <v>262</v>
      </c>
      <c r="E149">
        <v>2021</v>
      </c>
      <c r="F149" t="s">
        <v>224</v>
      </c>
      <c r="G149" s="4">
        <v>44419</v>
      </c>
      <c r="H149" t="s">
        <v>286</v>
      </c>
      <c r="I149">
        <v>78603</v>
      </c>
      <c r="J149">
        <v>15000</v>
      </c>
      <c r="K149">
        <v>9432</v>
      </c>
      <c r="L149">
        <v>8182</v>
      </c>
      <c r="M149">
        <v>1250</v>
      </c>
    </row>
    <row r="150" spans="1:13" hidden="1">
      <c r="A150" t="s">
        <v>14</v>
      </c>
      <c r="B150" s="26" t="s">
        <v>423</v>
      </c>
      <c r="C150" t="s">
        <v>261</v>
      </c>
      <c r="D150" t="s">
        <v>262</v>
      </c>
      <c r="E150">
        <v>2021</v>
      </c>
      <c r="F150" t="s">
        <v>224</v>
      </c>
      <c r="G150" s="4">
        <v>44448</v>
      </c>
      <c r="H150" t="s">
        <v>287</v>
      </c>
      <c r="I150">
        <v>99310</v>
      </c>
      <c r="J150">
        <v>15000</v>
      </c>
      <c r="K150">
        <v>11917</v>
      </c>
      <c r="L150">
        <v>10667</v>
      </c>
      <c r="M150">
        <v>1250</v>
      </c>
    </row>
    <row r="151" spans="1:13" hidden="1">
      <c r="A151" t="s">
        <v>14</v>
      </c>
      <c r="B151" s="26" t="s">
        <v>423</v>
      </c>
      <c r="C151" t="s">
        <v>261</v>
      </c>
      <c r="D151" t="s">
        <v>262</v>
      </c>
      <c r="E151">
        <v>2021</v>
      </c>
      <c r="F151" t="s">
        <v>224</v>
      </c>
      <c r="G151" s="4">
        <v>44482</v>
      </c>
      <c r="H151" t="s">
        <v>288</v>
      </c>
      <c r="I151">
        <v>100000</v>
      </c>
      <c r="J151">
        <v>15000</v>
      </c>
      <c r="K151">
        <v>12000</v>
      </c>
      <c r="L151">
        <v>10750</v>
      </c>
      <c r="M151">
        <v>1250</v>
      </c>
    </row>
    <row r="152" spans="1:13" hidden="1">
      <c r="A152" t="s">
        <v>14</v>
      </c>
      <c r="B152" s="26" t="s">
        <v>423</v>
      </c>
      <c r="C152" t="s">
        <v>261</v>
      </c>
      <c r="D152" t="s">
        <v>262</v>
      </c>
      <c r="E152">
        <v>2021</v>
      </c>
      <c r="F152" t="s">
        <v>224</v>
      </c>
      <c r="G152" s="4">
        <v>44510</v>
      </c>
      <c r="H152" t="s">
        <v>289</v>
      </c>
      <c r="I152">
        <v>100000</v>
      </c>
      <c r="J152">
        <v>15000</v>
      </c>
      <c r="K152">
        <v>12000</v>
      </c>
      <c r="L152">
        <v>10750</v>
      </c>
      <c r="M152">
        <v>1250</v>
      </c>
    </row>
    <row r="153" spans="1:13" hidden="1">
      <c r="A153" t="s">
        <v>14</v>
      </c>
      <c r="B153" s="26" t="s">
        <v>423</v>
      </c>
      <c r="C153" t="s">
        <v>261</v>
      </c>
      <c r="D153" t="s">
        <v>262</v>
      </c>
      <c r="E153">
        <v>2021</v>
      </c>
      <c r="F153" t="s">
        <v>224</v>
      </c>
      <c r="G153" s="4">
        <v>44539</v>
      </c>
      <c r="H153" t="s">
        <v>290</v>
      </c>
      <c r="I153">
        <v>100000</v>
      </c>
      <c r="J153">
        <v>15000</v>
      </c>
      <c r="K153">
        <v>12000</v>
      </c>
      <c r="L153">
        <v>10750</v>
      </c>
      <c r="M153">
        <v>1250</v>
      </c>
    </row>
    <row r="154" spans="1:13" hidden="1">
      <c r="A154" t="s">
        <v>14</v>
      </c>
      <c r="B154" s="26" t="s">
        <v>423</v>
      </c>
      <c r="C154" t="s">
        <v>261</v>
      </c>
      <c r="D154" t="s">
        <v>262</v>
      </c>
      <c r="E154">
        <v>2021</v>
      </c>
      <c r="F154" t="s">
        <v>224</v>
      </c>
      <c r="G154" s="4">
        <v>44573</v>
      </c>
      <c r="H154" t="s">
        <v>291</v>
      </c>
      <c r="I154">
        <v>100000</v>
      </c>
      <c r="J154">
        <v>15000</v>
      </c>
      <c r="K154">
        <v>12000</v>
      </c>
      <c r="L154">
        <v>10750</v>
      </c>
      <c r="M154">
        <v>1250</v>
      </c>
    </row>
    <row r="155" spans="1:13" hidden="1">
      <c r="A155" t="s">
        <v>14</v>
      </c>
      <c r="B155" s="26" t="s">
        <v>423</v>
      </c>
      <c r="C155" t="s">
        <v>261</v>
      </c>
      <c r="D155" t="s">
        <v>262</v>
      </c>
      <c r="E155">
        <v>2021</v>
      </c>
      <c r="F155" t="s">
        <v>224</v>
      </c>
      <c r="G155" s="4">
        <v>44601</v>
      </c>
      <c r="H155" t="s">
        <v>292</v>
      </c>
      <c r="I155">
        <v>100000</v>
      </c>
      <c r="J155">
        <v>15000</v>
      </c>
      <c r="K155">
        <v>12000</v>
      </c>
      <c r="L155">
        <v>10750</v>
      </c>
      <c r="M155">
        <v>1250</v>
      </c>
    </row>
    <row r="156" spans="1:13" hidden="1">
      <c r="A156" t="s">
        <v>14</v>
      </c>
      <c r="B156" s="26" t="s">
        <v>423</v>
      </c>
      <c r="C156" t="s">
        <v>261</v>
      </c>
      <c r="D156" t="s">
        <v>262</v>
      </c>
      <c r="E156">
        <v>2021</v>
      </c>
      <c r="F156" t="s">
        <v>224</v>
      </c>
      <c r="G156" s="4">
        <v>44628</v>
      </c>
      <c r="H156" t="s">
        <v>293</v>
      </c>
      <c r="I156">
        <v>100000</v>
      </c>
      <c r="J156">
        <v>15000</v>
      </c>
      <c r="K156">
        <v>12000</v>
      </c>
      <c r="L156">
        <v>10750</v>
      </c>
      <c r="M156">
        <v>1250</v>
      </c>
    </row>
    <row r="157" spans="1:13">
      <c r="A157" t="s">
        <v>14</v>
      </c>
      <c r="B157" s="26" t="s">
        <v>423</v>
      </c>
      <c r="C157" t="s">
        <v>261</v>
      </c>
      <c r="D157" t="s">
        <v>262</v>
      </c>
      <c r="E157">
        <v>2021</v>
      </c>
      <c r="F157" t="s">
        <v>267</v>
      </c>
      <c r="G157" s="4">
        <v>44651</v>
      </c>
      <c r="H157" t="s">
        <v>268</v>
      </c>
      <c r="K157">
        <v>15495</v>
      </c>
      <c r="L157">
        <v>13232</v>
      </c>
      <c r="M157">
        <v>0</v>
      </c>
    </row>
    <row r="158" spans="1:13" hidden="1">
      <c r="A158" t="s">
        <v>14</v>
      </c>
      <c r="B158" s="26" t="s">
        <v>423</v>
      </c>
      <c r="C158" t="s">
        <v>261</v>
      </c>
      <c r="D158" t="s">
        <v>262</v>
      </c>
      <c r="E158">
        <v>2021</v>
      </c>
      <c r="F158" t="s">
        <v>269</v>
      </c>
      <c r="G158" s="4">
        <v>44651</v>
      </c>
      <c r="H158" t="s">
        <v>269</v>
      </c>
      <c r="K158">
        <v>281236</v>
      </c>
      <c r="L158">
        <v>242906</v>
      </c>
      <c r="M158">
        <v>35000</v>
      </c>
    </row>
    <row r="159" spans="1:13">
      <c r="A159" t="s">
        <v>82</v>
      </c>
      <c r="B159" s="26" t="s">
        <v>424</v>
      </c>
      <c r="C159" t="s">
        <v>425</v>
      </c>
      <c r="D159" t="s">
        <v>337</v>
      </c>
      <c r="E159">
        <v>2021</v>
      </c>
      <c r="F159" t="s">
        <v>267</v>
      </c>
      <c r="G159" s="4">
        <v>44651</v>
      </c>
      <c r="H159" t="s">
        <v>268</v>
      </c>
      <c r="K159">
        <v>9596</v>
      </c>
      <c r="L159">
        <v>2934</v>
      </c>
      <c r="M159">
        <v>0</v>
      </c>
    </row>
    <row r="160" spans="1:13" hidden="1">
      <c r="A160" t="s">
        <v>82</v>
      </c>
      <c r="B160" s="26" t="s">
        <v>424</v>
      </c>
      <c r="C160" t="s">
        <v>425</v>
      </c>
      <c r="D160" t="s">
        <v>337</v>
      </c>
      <c r="E160">
        <v>2021</v>
      </c>
      <c r="F160" t="s">
        <v>269</v>
      </c>
      <c r="G160" s="4">
        <v>44651</v>
      </c>
      <c r="H160" t="s">
        <v>269</v>
      </c>
      <c r="K160">
        <v>128064</v>
      </c>
      <c r="L160">
        <v>39153</v>
      </c>
      <c r="M160">
        <v>8253</v>
      </c>
    </row>
    <row r="161" spans="1:13">
      <c r="A161" t="s">
        <v>82</v>
      </c>
      <c r="B161" s="26" t="s">
        <v>426</v>
      </c>
      <c r="C161" t="s">
        <v>419</v>
      </c>
      <c r="D161" t="s">
        <v>344</v>
      </c>
      <c r="E161">
        <v>2021</v>
      </c>
      <c r="F161" t="s">
        <v>267</v>
      </c>
      <c r="G161" s="4">
        <v>44651</v>
      </c>
      <c r="H161" t="s">
        <v>268</v>
      </c>
      <c r="K161">
        <v>1104</v>
      </c>
      <c r="L161">
        <v>338</v>
      </c>
      <c r="M161">
        <v>0</v>
      </c>
    </row>
    <row r="162" spans="1:13" hidden="1">
      <c r="A162" t="s">
        <v>82</v>
      </c>
      <c r="B162" s="26" t="s">
        <v>426</v>
      </c>
      <c r="C162" t="s">
        <v>419</v>
      </c>
      <c r="D162" t="s">
        <v>344</v>
      </c>
      <c r="E162">
        <v>2021</v>
      </c>
      <c r="F162" t="s">
        <v>269</v>
      </c>
      <c r="G162" s="4">
        <v>44651</v>
      </c>
      <c r="H162" t="s">
        <v>269</v>
      </c>
      <c r="K162">
        <v>14734</v>
      </c>
      <c r="L162">
        <v>4511</v>
      </c>
      <c r="M162">
        <v>5235</v>
      </c>
    </row>
    <row r="163" spans="1:13">
      <c r="A163" t="s">
        <v>82</v>
      </c>
      <c r="B163" s="26" t="s">
        <v>427</v>
      </c>
      <c r="C163" t="s">
        <v>408</v>
      </c>
      <c r="D163" t="s">
        <v>409</v>
      </c>
      <c r="E163">
        <v>2021</v>
      </c>
      <c r="F163" t="s">
        <v>267</v>
      </c>
      <c r="G163" s="4">
        <v>44651</v>
      </c>
      <c r="H163" t="s">
        <v>268</v>
      </c>
      <c r="K163">
        <v>980</v>
      </c>
      <c r="L163">
        <v>301</v>
      </c>
      <c r="M163">
        <v>0</v>
      </c>
    </row>
    <row r="164" spans="1:13" hidden="1">
      <c r="A164" t="s">
        <v>82</v>
      </c>
      <c r="B164" s="26" t="s">
        <v>427</v>
      </c>
      <c r="C164" t="s">
        <v>408</v>
      </c>
      <c r="D164" t="s">
        <v>409</v>
      </c>
      <c r="E164">
        <v>2021</v>
      </c>
      <c r="F164" t="s">
        <v>269</v>
      </c>
      <c r="G164" s="4">
        <v>44651</v>
      </c>
      <c r="H164" t="s">
        <v>269</v>
      </c>
      <c r="K164">
        <v>13081</v>
      </c>
      <c r="L164">
        <v>4011</v>
      </c>
      <c r="M164">
        <v>5034</v>
      </c>
    </row>
    <row r="165" spans="1:13" hidden="1">
      <c r="A165" t="s">
        <v>14</v>
      </c>
      <c r="B165" s="26" t="s">
        <v>423</v>
      </c>
      <c r="C165" t="s">
        <v>261</v>
      </c>
      <c r="D165" t="s">
        <v>262</v>
      </c>
      <c r="E165">
        <v>2022</v>
      </c>
      <c r="F165" t="s">
        <v>224</v>
      </c>
      <c r="G165" s="4">
        <v>44664</v>
      </c>
      <c r="H165" t="s">
        <v>294</v>
      </c>
      <c r="I165">
        <v>116670</v>
      </c>
      <c r="J165">
        <v>15000</v>
      </c>
      <c r="K165">
        <v>14000</v>
      </c>
      <c r="L165">
        <v>12750</v>
      </c>
      <c r="M165">
        <v>1250</v>
      </c>
    </row>
    <row r="166" spans="1:13" hidden="1">
      <c r="A166" t="s">
        <v>14</v>
      </c>
      <c r="B166" s="26" t="s">
        <v>423</v>
      </c>
      <c r="C166" t="s">
        <v>261</v>
      </c>
      <c r="D166" t="s">
        <v>262</v>
      </c>
      <c r="E166">
        <v>2022</v>
      </c>
      <c r="F166" t="s">
        <v>224</v>
      </c>
      <c r="G166" s="4">
        <v>44692</v>
      </c>
      <c r="H166" t="s">
        <v>295</v>
      </c>
      <c r="I166">
        <v>116670</v>
      </c>
      <c r="J166">
        <v>15000</v>
      </c>
      <c r="K166">
        <v>14000</v>
      </c>
      <c r="L166">
        <v>12750</v>
      </c>
      <c r="M166">
        <v>1250</v>
      </c>
    </row>
    <row r="167" spans="1:13" hidden="1">
      <c r="A167" t="s">
        <v>14</v>
      </c>
      <c r="B167" s="26" t="s">
        <v>423</v>
      </c>
      <c r="C167" t="s">
        <v>261</v>
      </c>
      <c r="D167" t="s">
        <v>262</v>
      </c>
      <c r="E167">
        <v>2022</v>
      </c>
      <c r="F167" t="s">
        <v>224</v>
      </c>
      <c r="G167" s="4">
        <v>44722</v>
      </c>
      <c r="H167" t="s">
        <v>296</v>
      </c>
      <c r="I167">
        <v>116670</v>
      </c>
      <c r="J167">
        <v>15000</v>
      </c>
      <c r="K167">
        <v>14000</v>
      </c>
      <c r="L167">
        <v>12750</v>
      </c>
      <c r="M167">
        <v>1250</v>
      </c>
    </row>
    <row r="168" spans="1:13" hidden="1">
      <c r="A168" t="s">
        <v>14</v>
      </c>
      <c r="B168" s="26" t="s">
        <v>423</v>
      </c>
      <c r="C168" t="s">
        <v>261</v>
      </c>
      <c r="D168" t="s">
        <v>262</v>
      </c>
      <c r="E168">
        <v>2022</v>
      </c>
      <c r="F168" t="s">
        <v>224</v>
      </c>
      <c r="G168" s="4">
        <v>44754</v>
      </c>
      <c r="H168" t="s">
        <v>297</v>
      </c>
      <c r="I168">
        <v>116670</v>
      </c>
      <c r="J168">
        <v>15000</v>
      </c>
      <c r="K168">
        <v>14000</v>
      </c>
      <c r="L168">
        <v>12750</v>
      </c>
      <c r="M168">
        <v>1250</v>
      </c>
    </row>
    <row r="169" spans="1:13" hidden="1">
      <c r="A169" t="s">
        <v>14</v>
      </c>
      <c r="B169" s="26" t="s">
        <v>423</v>
      </c>
      <c r="C169" t="s">
        <v>261</v>
      </c>
      <c r="D169" t="s">
        <v>262</v>
      </c>
      <c r="E169">
        <v>2022</v>
      </c>
      <c r="F169" t="s">
        <v>224</v>
      </c>
      <c r="G169" s="4">
        <v>44784</v>
      </c>
      <c r="H169" t="s">
        <v>298</v>
      </c>
      <c r="I169">
        <v>116670</v>
      </c>
      <c r="J169">
        <v>15000</v>
      </c>
      <c r="K169">
        <v>14000</v>
      </c>
      <c r="L169">
        <v>12750</v>
      </c>
      <c r="M169">
        <v>1250</v>
      </c>
    </row>
    <row r="170" spans="1:13" hidden="1">
      <c r="A170" t="s">
        <v>14</v>
      </c>
      <c r="B170" s="26" t="s">
        <v>423</v>
      </c>
      <c r="C170" t="s">
        <v>261</v>
      </c>
      <c r="D170" t="s">
        <v>262</v>
      </c>
      <c r="E170">
        <v>2022</v>
      </c>
      <c r="F170" t="s">
        <v>224</v>
      </c>
      <c r="G170" s="4">
        <v>44816</v>
      </c>
      <c r="H170" t="s">
        <v>299</v>
      </c>
      <c r="I170">
        <v>116670</v>
      </c>
      <c r="J170">
        <v>15000</v>
      </c>
      <c r="K170">
        <v>14000</v>
      </c>
      <c r="L170">
        <v>12750</v>
      </c>
      <c r="M170">
        <v>1250</v>
      </c>
    </row>
    <row r="171" spans="1:13" hidden="1">
      <c r="A171" t="s">
        <v>14</v>
      </c>
      <c r="B171" s="26" t="s">
        <v>423</v>
      </c>
      <c r="C171" t="s">
        <v>261</v>
      </c>
      <c r="D171" t="s">
        <v>262</v>
      </c>
      <c r="E171">
        <v>2022</v>
      </c>
      <c r="F171" t="s">
        <v>224</v>
      </c>
      <c r="G171" s="4">
        <v>44845</v>
      </c>
      <c r="H171" t="s">
        <v>300</v>
      </c>
      <c r="I171">
        <v>116670</v>
      </c>
      <c r="J171">
        <v>15000</v>
      </c>
      <c r="K171">
        <v>14000</v>
      </c>
      <c r="L171">
        <v>12750</v>
      </c>
      <c r="M171">
        <v>1250</v>
      </c>
    </row>
    <row r="172" spans="1:13" hidden="1">
      <c r="A172" t="s">
        <v>14</v>
      </c>
      <c r="B172" s="26" t="s">
        <v>423</v>
      </c>
      <c r="C172" t="s">
        <v>261</v>
      </c>
      <c r="D172" t="s">
        <v>262</v>
      </c>
      <c r="E172">
        <v>2022</v>
      </c>
      <c r="F172" t="s">
        <v>224</v>
      </c>
      <c r="G172" s="4">
        <v>44875</v>
      </c>
      <c r="H172" t="s">
        <v>301</v>
      </c>
      <c r="I172">
        <v>116670</v>
      </c>
      <c r="J172">
        <v>15000</v>
      </c>
      <c r="K172">
        <v>14000</v>
      </c>
      <c r="L172">
        <v>12750</v>
      </c>
      <c r="M172">
        <v>1250</v>
      </c>
    </row>
    <row r="173" spans="1:13" hidden="1">
      <c r="A173" t="s">
        <v>14</v>
      </c>
      <c r="B173" s="26" t="s">
        <v>423</v>
      </c>
      <c r="C173" t="s">
        <v>261</v>
      </c>
      <c r="D173" t="s">
        <v>262</v>
      </c>
      <c r="E173">
        <v>2022</v>
      </c>
      <c r="F173" t="s">
        <v>224</v>
      </c>
      <c r="G173" s="4">
        <v>44904</v>
      </c>
      <c r="H173" t="s">
        <v>302</v>
      </c>
      <c r="I173">
        <v>116670</v>
      </c>
      <c r="J173">
        <v>15000</v>
      </c>
      <c r="K173">
        <v>14000</v>
      </c>
      <c r="L173">
        <v>12750</v>
      </c>
      <c r="M173">
        <v>1250</v>
      </c>
    </row>
    <row r="174" spans="1:13" hidden="1">
      <c r="A174" t="s">
        <v>14</v>
      </c>
      <c r="B174" s="26" t="s">
        <v>423</v>
      </c>
      <c r="C174" t="s">
        <v>261</v>
      </c>
      <c r="D174" t="s">
        <v>262</v>
      </c>
      <c r="E174">
        <v>2022</v>
      </c>
      <c r="F174" t="s">
        <v>224</v>
      </c>
      <c r="G174" s="4">
        <v>44938</v>
      </c>
      <c r="H174" t="s">
        <v>303</v>
      </c>
      <c r="I174">
        <v>116670</v>
      </c>
      <c r="J174">
        <v>15000</v>
      </c>
      <c r="K174">
        <v>14000</v>
      </c>
      <c r="L174">
        <v>12750</v>
      </c>
      <c r="M174">
        <v>1250</v>
      </c>
    </row>
    <row r="175" spans="1:13" hidden="1">
      <c r="A175" t="s">
        <v>14</v>
      </c>
      <c r="B175" s="26" t="s">
        <v>423</v>
      </c>
      <c r="C175" t="s">
        <v>261</v>
      </c>
      <c r="D175" t="s">
        <v>262</v>
      </c>
      <c r="E175">
        <v>2022</v>
      </c>
      <c r="F175" t="s">
        <v>224</v>
      </c>
      <c r="G175" s="4">
        <v>44966</v>
      </c>
      <c r="H175" t="s">
        <v>304</v>
      </c>
      <c r="I175">
        <v>116670</v>
      </c>
      <c r="J175">
        <v>15000</v>
      </c>
      <c r="K175">
        <v>14000</v>
      </c>
      <c r="L175">
        <v>12750</v>
      </c>
      <c r="M175">
        <v>1250</v>
      </c>
    </row>
    <row r="176" spans="1:13" hidden="1">
      <c r="A176" t="s">
        <v>14</v>
      </c>
      <c r="B176" s="26" t="s">
        <v>423</v>
      </c>
      <c r="C176" t="s">
        <v>261</v>
      </c>
      <c r="D176" t="s">
        <v>262</v>
      </c>
      <c r="E176">
        <v>2022</v>
      </c>
      <c r="F176" t="s">
        <v>224</v>
      </c>
      <c r="G176" s="4">
        <v>44999</v>
      </c>
      <c r="H176" t="s">
        <v>305</v>
      </c>
      <c r="I176">
        <v>116670</v>
      </c>
      <c r="J176">
        <v>15000</v>
      </c>
      <c r="K176">
        <v>14000</v>
      </c>
      <c r="L176">
        <v>12750</v>
      </c>
      <c r="M176">
        <v>1250</v>
      </c>
    </row>
    <row r="177" spans="1:13">
      <c r="A177" t="s">
        <v>14</v>
      </c>
      <c r="B177" s="26" t="s">
        <v>423</v>
      </c>
      <c r="C177" t="s">
        <v>261</v>
      </c>
      <c r="D177" t="s">
        <v>262</v>
      </c>
      <c r="E177">
        <v>2022</v>
      </c>
      <c r="F177" t="s">
        <v>267</v>
      </c>
      <c r="G177" s="4">
        <v>45016</v>
      </c>
      <c r="H177" t="s">
        <v>268</v>
      </c>
      <c r="K177">
        <v>29196</v>
      </c>
      <c r="L177">
        <v>25512</v>
      </c>
      <c r="M177">
        <v>0</v>
      </c>
    </row>
    <row r="178" spans="1:13" hidden="1">
      <c r="A178" t="s">
        <v>14</v>
      </c>
      <c r="B178" s="26" t="s">
        <v>423</v>
      </c>
      <c r="C178" t="s">
        <v>261</v>
      </c>
      <c r="D178" t="s">
        <v>262</v>
      </c>
      <c r="E178">
        <v>2022</v>
      </c>
      <c r="F178" t="s">
        <v>269</v>
      </c>
      <c r="G178" s="4">
        <v>45016</v>
      </c>
      <c r="H178" t="s">
        <v>269</v>
      </c>
      <c r="K178">
        <v>478432</v>
      </c>
      <c r="L178">
        <v>421418</v>
      </c>
      <c r="M178">
        <v>50000</v>
      </c>
    </row>
    <row r="179" spans="1:13">
      <c r="A179" t="s">
        <v>82</v>
      </c>
      <c r="B179" s="26" t="s">
        <v>424</v>
      </c>
      <c r="C179" t="s">
        <v>425</v>
      </c>
      <c r="D179" t="s">
        <v>337</v>
      </c>
      <c r="E179">
        <v>2022</v>
      </c>
      <c r="F179" t="s">
        <v>267</v>
      </c>
      <c r="G179" s="4">
        <v>45016</v>
      </c>
      <c r="H179" t="s">
        <v>268</v>
      </c>
      <c r="K179">
        <v>10437</v>
      </c>
      <c r="L179">
        <v>3191</v>
      </c>
      <c r="M179">
        <v>0</v>
      </c>
    </row>
    <row r="180" spans="1:13" hidden="1">
      <c r="A180" t="s">
        <v>82</v>
      </c>
      <c r="B180" s="26" t="s">
        <v>424</v>
      </c>
      <c r="C180" t="s">
        <v>425</v>
      </c>
      <c r="D180" t="s">
        <v>337</v>
      </c>
      <c r="E180">
        <v>2022</v>
      </c>
      <c r="F180" t="s">
        <v>269</v>
      </c>
      <c r="G180" s="4">
        <v>45016</v>
      </c>
      <c r="H180" t="s">
        <v>269</v>
      </c>
      <c r="K180">
        <v>138501</v>
      </c>
      <c r="L180">
        <v>42344</v>
      </c>
      <c r="M180">
        <v>8253</v>
      </c>
    </row>
    <row r="181" spans="1:13">
      <c r="A181" t="s">
        <v>82</v>
      </c>
      <c r="B181" s="26" t="s">
        <v>426</v>
      </c>
      <c r="C181" t="s">
        <v>419</v>
      </c>
      <c r="D181" t="s">
        <v>344</v>
      </c>
      <c r="E181">
        <v>2022</v>
      </c>
      <c r="F181" t="s">
        <v>267</v>
      </c>
      <c r="G181" s="4">
        <v>45016</v>
      </c>
      <c r="H181" t="s">
        <v>268</v>
      </c>
      <c r="K181">
        <v>1201</v>
      </c>
      <c r="L181">
        <v>368</v>
      </c>
      <c r="M181">
        <v>0</v>
      </c>
    </row>
    <row r="182" spans="1:13" hidden="1">
      <c r="A182" t="s">
        <v>82</v>
      </c>
      <c r="B182" s="26" t="s">
        <v>426</v>
      </c>
      <c r="C182" t="s">
        <v>419</v>
      </c>
      <c r="D182" t="s">
        <v>344</v>
      </c>
      <c r="E182">
        <v>2022</v>
      </c>
      <c r="F182" t="s">
        <v>269</v>
      </c>
      <c r="G182" s="4">
        <v>45016</v>
      </c>
      <c r="H182" t="s">
        <v>269</v>
      </c>
      <c r="K182">
        <v>15935</v>
      </c>
      <c r="L182">
        <v>4879</v>
      </c>
      <c r="M182">
        <v>5235</v>
      </c>
    </row>
    <row r="183" spans="1:13">
      <c r="A183" t="s">
        <v>82</v>
      </c>
      <c r="B183" s="26" t="s">
        <v>427</v>
      </c>
      <c r="C183" t="s">
        <v>408</v>
      </c>
      <c r="D183" t="s">
        <v>409</v>
      </c>
      <c r="E183">
        <v>2022</v>
      </c>
      <c r="F183" t="s">
        <v>267</v>
      </c>
      <c r="G183" s="4">
        <v>45016</v>
      </c>
      <c r="H183" t="s">
        <v>268</v>
      </c>
      <c r="K183">
        <v>1066</v>
      </c>
      <c r="L183">
        <v>327</v>
      </c>
      <c r="M183">
        <v>0</v>
      </c>
    </row>
    <row r="184" spans="1:13" hidden="1">
      <c r="A184" t="s">
        <v>82</v>
      </c>
      <c r="B184" s="26" t="s">
        <v>427</v>
      </c>
      <c r="C184" t="s">
        <v>408</v>
      </c>
      <c r="D184" t="s">
        <v>409</v>
      </c>
      <c r="E184">
        <v>2022</v>
      </c>
      <c r="F184" t="s">
        <v>269</v>
      </c>
      <c r="G184" s="4">
        <v>45016</v>
      </c>
      <c r="H184" t="s">
        <v>269</v>
      </c>
      <c r="K184">
        <v>14147</v>
      </c>
      <c r="L184">
        <v>4338</v>
      </c>
      <c r="M184">
        <v>5034</v>
      </c>
    </row>
    <row r="185" spans="1:13" hidden="1">
      <c r="A185" t="s">
        <v>14</v>
      </c>
      <c r="B185" s="26" t="s">
        <v>423</v>
      </c>
      <c r="C185" t="s">
        <v>261</v>
      </c>
      <c r="D185" t="s">
        <v>262</v>
      </c>
      <c r="E185">
        <v>2023</v>
      </c>
      <c r="F185" t="s">
        <v>224</v>
      </c>
      <c r="G185" s="4">
        <v>45028</v>
      </c>
      <c r="H185" t="s">
        <v>306</v>
      </c>
      <c r="I185">
        <v>134171</v>
      </c>
      <c r="J185">
        <v>15000</v>
      </c>
      <c r="K185">
        <v>16101</v>
      </c>
      <c r="L185">
        <v>14851</v>
      </c>
      <c r="M185">
        <v>1250</v>
      </c>
    </row>
    <row r="186" spans="1:13" hidden="1">
      <c r="A186" t="s">
        <v>14</v>
      </c>
      <c r="B186" s="26" t="s">
        <v>423</v>
      </c>
      <c r="C186" t="s">
        <v>261</v>
      </c>
      <c r="D186" t="s">
        <v>262</v>
      </c>
      <c r="E186">
        <v>2023</v>
      </c>
      <c r="F186" t="s">
        <v>224</v>
      </c>
      <c r="G186" s="4">
        <v>45055</v>
      </c>
      <c r="H186" t="s">
        <v>307</v>
      </c>
      <c r="I186">
        <v>134171</v>
      </c>
      <c r="J186">
        <v>15000</v>
      </c>
      <c r="K186">
        <v>16101</v>
      </c>
      <c r="L186">
        <v>14851</v>
      </c>
      <c r="M186">
        <v>1250</v>
      </c>
    </row>
    <row r="187" spans="1:13" hidden="1">
      <c r="A187" t="s">
        <v>14</v>
      </c>
      <c r="B187" s="26" t="s">
        <v>423</v>
      </c>
      <c r="C187" t="s">
        <v>261</v>
      </c>
      <c r="D187" t="s">
        <v>262</v>
      </c>
      <c r="E187">
        <v>2023</v>
      </c>
      <c r="F187" t="s">
        <v>224</v>
      </c>
      <c r="G187" s="4">
        <v>45089</v>
      </c>
      <c r="H187" t="s">
        <v>308</v>
      </c>
      <c r="I187">
        <v>134171</v>
      </c>
      <c r="J187">
        <v>15000</v>
      </c>
      <c r="K187">
        <v>16101</v>
      </c>
      <c r="L187">
        <v>14851</v>
      </c>
      <c r="M187">
        <v>1250</v>
      </c>
    </row>
    <row r="188" spans="1:13" hidden="1">
      <c r="A188" t="s">
        <v>14</v>
      </c>
      <c r="B188" s="26" t="s">
        <v>423</v>
      </c>
      <c r="C188" t="s">
        <v>261</v>
      </c>
      <c r="D188" t="s">
        <v>262</v>
      </c>
      <c r="E188">
        <v>2023</v>
      </c>
      <c r="F188" t="s">
        <v>224</v>
      </c>
      <c r="G188" s="4">
        <v>45120</v>
      </c>
      <c r="H188" t="s">
        <v>309</v>
      </c>
      <c r="I188">
        <v>134171</v>
      </c>
      <c r="J188">
        <v>15000</v>
      </c>
      <c r="K188">
        <v>16101</v>
      </c>
      <c r="L188">
        <v>14851</v>
      </c>
      <c r="M188">
        <v>1250</v>
      </c>
    </row>
    <row r="189" spans="1:13" hidden="1">
      <c r="A189" t="s">
        <v>14</v>
      </c>
      <c r="B189" s="26" t="s">
        <v>423</v>
      </c>
      <c r="C189" t="s">
        <v>261</v>
      </c>
      <c r="D189" t="s">
        <v>262</v>
      </c>
      <c r="E189">
        <v>2023</v>
      </c>
      <c r="F189" t="s">
        <v>224</v>
      </c>
      <c r="G189" s="4">
        <v>45147</v>
      </c>
      <c r="H189" t="s">
        <v>310</v>
      </c>
      <c r="I189">
        <v>134171</v>
      </c>
      <c r="J189">
        <v>15000</v>
      </c>
      <c r="K189">
        <v>16101</v>
      </c>
      <c r="L189">
        <v>14851</v>
      </c>
      <c r="M189">
        <v>1250</v>
      </c>
    </row>
    <row r="190" spans="1:13" hidden="1">
      <c r="A190" t="s">
        <v>14</v>
      </c>
      <c r="B190" s="26" t="s">
        <v>423</v>
      </c>
      <c r="C190" t="s">
        <v>261</v>
      </c>
      <c r="D190" t="s">
        <v>262</v>
      </c>
      <c r="E190">
        <v>2023</v>
      </c>
      <c r="F190" t="s">
        <v>224</v>
      </c>
      <c r="G190" s="4">
        <v>45183</v>
      </c>
      <c r="H190" t="s">
        <v>311</v>
      </c>
      <c r="I190">
        <v>134171</v>
      </c>
      <c r="J190">
        <v>15000</v>
      </c>
      <c r="K190">
        <v>16101</v>
      </c>
      <c r="L190">
        <v>14851</v>
      </c>
      <c r="M190">
        <v>1250</v>
      </c>
    </row>
    <row r="191" spans="1:13" hidden="1">
      <c r="A191" t="s">
        <v>14</v>
      </c>
      <c r="B191" s="26" t="s">
        <v>423</v>
      </c>
      <c r="C191" t="s">
        <v>261</v>
      </c>
      <c r="D191" t="s">
        <v>262</v>
      </c>
      <c r="E191">
        <v>2023</v>
      </c>
      <c r="F191" t="s">
        <v>224</v>
      </c>
      <c r="G191" s="4">
        <v>45212</v>
      </c>
      <c r="H191" t="s">
        <v>312</v>
      </c>
      <c r="I191">
        <v>134171</v>
      </c>
      <c r="J191">
        <v>15000</v>
      </c>
      <c r="K191">
        <v>16101</v>
      </c>
      <c r="L191">
        <v>14851</v>
      </c>
      <c r="M191">
        <v>1250</v>
      </c>
    </row>
    <row r="192" spans="1:13" hidden="1">
      <c r="A192" t="s">
        <v>14</v>
      </c>
      <c r="B192" s="26" t="s">
        <v>423</v>
      </c>
      <c r="C192" t="s">
        <v>261</v>
      </c>
      <c r="D192" t="s">
        <v>262</v>
      </c>
      <c r="E192">
        <v>2023</v>
      </c>
      <c r="F192" t="s">
        <v>224</v>
      </c>
      <c r="G192" s="4">
        <v>45240</v>
      </c>
      <c r="H192" t="s">
        <v>313</v>
      </c>
      <c r="I192">
        <v>134171</v>
      </c>
      <c r="J192">
        <v>15000</v>
      </c>
      <c r="K192">
        <v>16101</v>
      </c>
      <c r="L192">
        <v>14851</v>
      </c>
      <c r="M192">
        <v>1250</v>
      </c>
    </row>
    <row r="193" spans="1:13" hidden="1">
      <c r="A193" t="s">
        <v>14</v>
      </c>
      <c r="B193" s="26" t="s">
        <v>423</v>
      </c>
      <c r="C193" t="s">
        <v>261</v>
      </c>
      <c r="D193" t="s">
        <v>262</v>
      </c>
      <c r="E193">
        <v>2023</v>
      </c>
      <c r="F193" t="s">
        <v>224</v>
      </c>
      <c r="G193" s="4">
        <v>45274</v>
      </c>
      <c r="H193" t="s">
        <v>314</v>
      </c>
      <c r="I193">
        <v>134171</v>
      </c>
      <c r="J193">
        <v>15000</v>
      </c>
      <c r="K193">
        <v>16101</v>
      </c>
      <c r="L193">
        <v>14851</v>
      </c>
      <c r="M193">
        <v>1250</v>
      </c>
    </row>
    <row r="194" spans="1:13" hidden="1">
      <c r="A194" t="s">
        <v>14</v>
      </c>
      <c r="B194" s="26" t="s">
        <v>423</v>
      </c>
      <c r="C194" t="s">
        <v>261</v>
      </c>
      <c r="D194" t="s">
        <v>262</v>
      </c>
      <c r="E194">
        <v>2023</v>
      </c>
      <c r="F194" t="s">
        <v>224</v>
      </c>
      <c r="G194" s="4">
        <v>45303</v>
      </c>
      <c r="H194" t="s">
        <v>315</v>
      </c>
      <c r="I194">
        <v>134171</v>
      </c>
      <c r="J194">
        <v>15000</v>
      </c>
      <c r="K194">
        <v>16101</v>
      </c>
      <c r="L194">
        <v>14851</v>
      </c>
      <c r="M194">
        <v>1250</v>
      </c>
    </row>
    <row r="195" spans="1:13" hidden="1">
      <c r="A195" t="s">
        <v>14</v>
      </c>
      <c r="B195" s="26" t="s">
        <v>423</v>
      </c>
      <c r="C195" t="s">
        <v>261</v>
      </c>
      <c r="D195" t="s">
        <v>262</v>
      </c>
      <c r="E195">
        <v>2023</v>
      </c>
      <c r="F195" t="s">
        <v>224</v>
      </c>
      <c r="G195" s="4">
        <v>45335</v>
      </c>
      <c r="H195" t="s">
        <v>316</v>
      </c>
      <c r="I195">
        <v>134171</v>
      </c>
      <c r="J195">
        <v>15000</v>
      </c>
      <c r="K195">
        <v>16101</v>
      </c>
      <c r="L195">
        <v>14851</v>
      </c>
      <c r="M195">
        <v>1250</v>
      </c>
    </row>
    <row r="196" spans="1:13" hidden="1">
      <c r="A196" t="s">
        <v>14</v>
      </c>
      <c r="B196" s="26" t="s">
        <v>423</v>
      </c>
      <c r="C196" t="s">
        <v>261</v>
      </c>
      <c r="D196" t="s">
        <v>262</v>
      </c>
      <c r="E196">
        <v>2023</v>
      </c>
      <c r="F196" t="s">
        <v>224</v>
      </c>
      <c r="G196" s="4">
        <v>45363</v>
      </c>
      <c r="H196" t="s">
        <v>317</v>
      </c>
      <c r="I196">
        <v>134171</v>
      </c>
      <c r="J196">
        <v>15000</v>
      </c>
      <c r="K196">
        <v>16101</v>
      </c>
      <c r="L196">
        <v>14851</v>
      </c>
      <c r="M196">
        <v>1250</v>
      </c>
    </row>
    <row r="197" spans="1:13">
      <c r="A197" t="s">
        <v>14</v>
      </c>
      <c r="B197" s="26" t="s">
        <v>423</v>
      </c>
      <c r="C197" t="s">
        <v>261</v>
      </c>
      <c r="D197" t="s">
        <v>262</v>
      </c>
      <c r="E197">
        <v>2023</v>
      </c>
      <c r="F197" t="s">
        <v>267</v>
      </c>
      <c r="G197" s="4">
        <v>45382</v>
      </c>
      <c r="H197" t="s">
        <v>268</v>
      </c>
      <c r="K197">
        <v>46776</v>
      </c>
      <c r="L197">
        <v>41506</v>
      </c>
      <c r="M197">
        <v>0</v>
      </c>
    </row>
    <row r="198" spans="1:13" hidden="1">
      <c r="A198" t="s">
        <v>14</v>
      </c>
      <c r="B198" s="26" t="s">
        <v>423</v>
      </c>
      <c r="C198" t="s">
        <v>261</v>
      </c>
      <c r="D198" t="s">
        <v>262</v>
      </c>
      <c r="E198">
        <v>2023</v>
      </c>
      <c r="F198" t="s">
        <v>269</v>
      </c>
      <c r="G198" s="4">
        <v>45382</v>
      </c>
      <c r="H198" t="s">
        <v>269</v>
      </c>
      <c r="K198">
        <v>718420</v>
      </c>
      <c r="L198">
        <v>641136</v>
      </c>
      <c r="M198">
        <v>65000</v>
      </c>
    </row>
    <row r="199" spans="1:13">
      <c r="A199" t="s">
        <v>82</v>
      </c>
      <c r="B199" s="26" t="s">
        <v>424</v>
      </c>
      <c r="C199" t="s">
        <v>425</v>
      </c>
      <c r="D199" t="s">
        <v>337</v>
      </c>
      <c r="E199">
        <v>2023</v>
      </c>
      <c r="F199" t="s">
        <v>267</v>
      </c>
      <c r="G199" s="4">
        <v>45382</v>
      </c>
      <c r="H199" t="s">
        <v>268</v>
      </c>
      <c r="K199">
        <v>11426</v>
      </c>
      <c r="L199">
        <v>3493</v>
      </c>
      <c r="M199">
        <v>0</v>
      </c>
    </row>
    <row r="200" spans="1:13" hidden="1">
      <c r="A200" t="s">
        <v>82</v>
      </c>
      <c r="B200" s="26" t="s">
        <v>424</v>
      </c>
      <c r="C200" t="s">
        <v>425</v>
      </c>
      <c r="D200" t="s">
        <v>337</v>
      </c>
      <c r="E200">
        <v>2023</v>
      </c>
      <c r="F200" t="s">
        <v>269</v>
      </c>
      <c r="G200" s="4">
        <v>45382</v>
      </c>
      <c r="H200" t="s">
        <v>269</v>
      </c>
      <c r="K200">
        <v>149927</v>
      </c>
      <c r="L200">
        <v>45837</v>
      </c>
      <c r="M200">
        <v>8253</v>
      </c>
    </row>
    <row r="201" spans="1:13">
      <c r="A201" t="s">
        <v>82</v>
      </c>
      <c r="B201" s="26" t="s">
        <v>426</v>
      </c>
      <c r="C201" t="s">
        <v>419</v>
      </c>
      <c r="D201" t="s">
        <v>344</v>
      </c>
      <c r="E201">
        <v>2023</v>
      </c>
      <c r="F201" t="s">
        <v>267</v>
      </c>
      <c r="G201" s="4">
        <v>45382</v>
      </c>
      <c r="H201" t="s">
        <v>268</v>
      </c>
      <c r="K201">
        <v>1315</v>
      </c>
      <c r="L201">
        <v>403</v>
      </c>
      <c r="M201">
        <v>0</v>
      </c>
    </row>
    <row r="202" spans="1:13" hidden="1">
      <c r="A202" t="s">
        <v>82</v>
      </c>
      <c r="B202" s="26" t="s">
        <v>426</v>
      </c>
      <c r="C202" t="s">
        <v>419</v>
      </c>
      <c r="D202" t="s">
        <v>344</v>
      </c>
      <c r="E202">
        <v>2023</v>
      </c>
      <c r="F202" t="s">
        <v>269</v>
      </c>
      <c r="G202" s="4">
        <v>45382</v>
      </c>
      <c r="H202" t="s">
        <v>269</v>
      </c>
      <c r="K202">
        <v>17250</v>
      </c>
      <c r="L202">
        <v>5282</v>
      </c>
      <c r="M202">
        <v>5235</v>
      </c>
    </row>
    <row r="203" spans="1:13">
      <c r="A203" t="s">
        <v>82</v>
      </c>
      <c r="B203" s="26" t="s">
        <v>427</v>
      </c>
      <c r="C203" t="s">
        <v>408</v>
      </c>
      <c r="D203" t="s">
        <v>409</v>
      </c>
      <c r="E203">
        <v>2023</v>
      </c>
      <c r="F203" t="s">
        <v>267</v>
      </c>
      <c r="G203" s="4">
        <v>45382</v>
      </c>
      <c r="H203" t="s">
        <v>268</v>
      </c>
      <c r="K203">
        <v>1167</v>
      </c>
      <c r="L203">
        <v>358</v>
      </c>
      <c r="M203">
        <v>0</v>
      </c>
    </row>
    <row r="204" spans="1:13" hidden="1">
      <c r="A204" t="s">
        <v>82</v>
      </c>
      <c r="B204" s="26" t="s">
        <v>427</v>
      </c>
      <c r="C204" t="s">
        <v>408</v>
      </c>
      <c r="D204" t="s">
        <v>409</v>
      </c>
      <c r="E204">
        <v>2023</v>
      </c>
      <c r="F204" t="s">
        <v>269</v>
      </c>
      <c r="G204" s="4">
        <v>45382</v>
      </c>
      <c r="H204" t="s">
        <v>269</v>
      </c>
      <c r="K204">
        <v>15314</v>
      </c>
      <c r="L204">
        <v>4696</v>
      </c>
      <c r="M204">
        <v>5034</v>
      </c>
    </row>
    <row r="205" spans="1:13" hidden="1">
      <c r="A205" t="s">
        <v>14</v>
      </c>
      <c r="B205" s="26" t="s">
        <v>423</v>
      </c>
      <c r="C205" t="s">
        <v>261</v>
      </c>
      <c r="D205" t="s">
        <v>262</v>
      </c>
      <c r="E205">
        <v>2024</v>
      </c>
      <c r="F205" t="s">
        <v>224</v>
      </c>
      <c r="G205" s="4">
        <v>45397</v>
      </c>
      <c r="H205" t="s">
        <v>318</v>
      </c>
      <c r="I205">
        <v>144904</v>
      </c>
      <c r="J205">
        <v>15000</v>
      </c>
      <c r="K205">
        <v>17388</v>
      </c>
      <c r="L205">
        <v>16138</v>
      </c>
      <c r="M205">
        <v>1250</v>
      </c>
    </row>
    <row r="206" spans="1:13" hidden="1">
      <c r="A206" t="s">
        <v>14</v>
      </c>
      <c r="B206" s="26" t="s">
        <v>423</v>
      </c>
      <c r="C206" t="s">
        <v>261</v>
      </c>
      <c r="D206" t="s">
        <v>262</v>
      </c>
      <c r="E206">
        <v>2024</v>
      </c>
      <c r="F206" t="s">
        <v>224</v>
      </c>
      <c r="G206" s="4">
        <v>45425</v>
      </c>
      <c r="H206" t="s">
        <v>319</v>
      </c>
      <c r="I206">
        <v>144904</v>
      </c>
      <c r="J206">
        <v>15000</v>
      </c>
      <c r="K206">
        <v>17388</v>
      </c>
      <c r="L206">
        <v>16138</v>
      </c>
      <c r="M206">
        <v>1250</v>
      </c>
    </row>
    <row r="207" spans="1:13" hidden="1">
      <c r="A207" t="s">
        <v>14</v>
      </c>
      <c r="B207" s="26" t="s">
        <v>423</v>
      </c>
      <c r="C207" t="s">
        <v>261</v>
      </c>
      <c r="D207" t="s">
        <v>262</v>
      </c>
      <c r="E207">
        <v>2024</v>
      </c>
      <c r="F207" t="s">
        <v>224</v>
      </c>
      <c r="G207" s="4">
        <v>45454</v>
      </c>
      <c r="H207" t="s">
        <v>320</v>
      </c>
      <c r="I207">
        <v>176823</v>
      </c>
      <c r="J207">
        <v>15000</v>
      </c>
      <c r="K207">
        <v>21219</v>
      </c>
      <c r="L207">
        <v>19969</v>
      </c>
      <c r="M207">
        <v>1250</v>
      </c>
    </row>
    <row r="208" spans="1:13" hidden="1">
      <c r="A208" t="s">
        <v>14</v>
      </c>
      <c r="B208" s="26" t="s">
        <v>423</v>
      </c>
      <c r="C208" t="s">
        <v>261</v>
      </c>
      <c r="D208" t="s">
        <v>262</v>
      </c>
      <c r="E208">
        <v>2024</v>
      </c>
      <c r="F208" t="s">
        <v>224</v>
      </c>
      <c r="G208" s="4">
        <v>45484</v>
      </c>
      <c r="H208" t="s">
        <v>321</v>
      </c>
      <c r="I208">
        <v>166667</v>
      </c>
      <c r="J208">
        <v>15000</v>
      </c>
      <c r="K208">
        <v>20000</v>
      </c>
      <c r="L208">
        <v>18750</v>
      </c>
      <c r="M208">
        <v>1250</v>
      </c>
    </row>
    <row r="209" spans="1:13" hidden="1">
      <c r="A209" t="s">
        <v>14</v>
      </c>
      <c r="B209" s="26" t="s">
        <v>423</v>
      </c>
      <c r="C209" t="s">
        <v>261</v>
      </c>
      <c r="D209" t="s">
        <v>262</v>
      </c>
      <c r="E209">
        <v>2024</v>
      </c>
      <c r="F209" t="s">
        <v>224</v>
      </c>
      <c r="G209" s="4">
        <v>45516</v>
      </c>
      <c r="H209" t="s">
        <v>322</v>
      </c>
      <c r="I209">
        <v>166667</v>
      </c>
      <c r="J209">
        <v>15000</v>
      </c>
      <c r="K209">
        <v>20000</v>
      </c>
      <c r="L209">
        <v>18750</v>
      </c>
      <c r="M209">
        <v>1250</v>
      </c>
    </row>
    <row r="210" spans="1:13" hidden="1">
      <c r="A210" t="s">
        <v>14</v>
      </c>
      <c r="B210" s="26" t="s">
        <v>423</v>
      </c>
      <c r="C210" t="s">
        <v>261</v>
      </c>
      <c r="D210" t="s">
        <v>262</v>
      </c>
      <c r="E210">
        <v>2024</v>
      </c>
      <c r="F210" t="s">
        <v>224</v>
      </c>
      <c r="G210" s="4">
        <v>45548</v>
      </c>
      <c r="H210" t="s">
        <v>323</v>
      </c>
      <c r="I210">
        <v>166667</v>
      </c>
      <c r="J210">
        <v>15000</v>
      </c>
      <c r="K210">
        <v>20000</v>
      </c>
      <c r="L210">
        <v>18750</v>
      </c>
      <c r="M210">
        <v>1250</v>
      </c>
    </row>
    <row r="211" spans="1:13" hidden="1">
      <c r="A211" t="s">
        <v>14</v>
      </c>
      <c r="B211" s="26" t="s">
        <v>423</v>
      </c>
      <c r="C211" t="s">
        <v>261</v>
      </c>
      <c r="D211" t="s">
        <v>262</v>
      </c>
      <c r="E211">
        <v>2024</v>
      </c>
      <c r="F211" t="s">
        <v>224</v>
      </c>
      <c r="G211" s="4">
        <v>45579</v>
      </c>
      <c r="H211" t="s">
        <v>324</v>
      </c>
      <c r="I211">
        <v>166667</v>
      </c>
      <c r="J211">
        <v>15000</v>
      </c>
      <c r="K211">
        <v>20000</v>
      </c>
      <c r="L211">
        <v>18750</v>
      </c>
      <c r="M211">
        <v>1250</v>
      </c>
    </row>
    <row r="212" spans="1:13" hidden="1">
      <c r="A212" t="s">
        <v>14</v>
      </c>
      <c r="B212" s="26" t="s">
        <v>423</v>
      </c>
      <c r="C212" t="s">
        <v>261</v>
      </c>
      <c r="D212" t="s">
        <v>262</v>
      </c>
      <c r="E212">
        <v>2024</v>
      </c>
      <c r="F212" t="s">
        <v>224</v>
      </c>
      <c r="G212" s="4">
        <v>45607</v>
      </c>
      <c r="H212" t="s">
        <v>325</v>
      </c>
      <c r="I212">
        <v>166667</v>
      </c>
      <c r="J212">
        <v>15000</v>
      </c>
      <c r="K212">
        <v>20000</v>
      </c>
      <c r="L212">
        <v>18750</v>
      </c>
      <c r="M212">
        <v>1250</v>
      </c>
    </row>
    <row r="213" spans="1:13" hidden="1">
      <c r="A213" t="s">
        <v>14</v>
      </c>
      <c r="B213" s="26" t="s">
        <v>423</v>
      </c>
      <c r="C213" t="s">
        <v>261</v>
      </c>
      <c r="D213" t="s">
        <v>262</v>
      </c>
      <c r="E213">
        <v>2024</v>
      </c>
      <c r="F213" t="s">
        <v>224</v>
      </c>
      <c r="G213" s="4">
        <v>45638</v>
      </c>
      <c r="H213" t="s">
        <v>326</v>
      </c>
      <c r="I213">
        <v>166667</v>
      </c>
      <c r="J213">
        <v>15000</v>
      </c>
      <c r="K213">
        <v>20000</v>
      </c>
      <c r="L213">
        <v>18750</v>
      </c>
      <c r="M213">
        <v>1250</v>
      </c>
    </row>
    <row r="214" spans="1:13" hidden="1">
      <c r="A214" t="s">
        <v>14</v>
      </c>
      <c r="B214" s="26" t="s">
        <v>423</v>
      </c>
      <c r="C214" t="s">
        <v>261</v>
      </c>
      <c r="D214" t="s">
        <v>262</v>
      </c>
      <c r="E214">
        <v>2024</v>
      </c>
      <c r="F214" t="s">
        <v>224</v>
      </c>
      <c r="G214" s="4">
        <v>45670</v>
      </c>
      <c r="H214" t="s">
        <v>327</v>
      </c>
      <c r="I214">
        <v>166667</v>
      </c>
      <c r="J214">
        <v>15000</v>
      </c>
      <c r="K214">
        <v>20000</v>
      </c>
      <c r="L214">
        <v>18750</v>
      </c>
      <c r="M214">
        <v>1250</v>
      </c>
    </row>
    <row r="215" spans="1:13" hidden="1">
      <c r="A215" t="s">
        <v>14</v>
      </c>
      <c r="B215" s="26" t="s">
        <v>423</v>
      </c>
      <c r="C215" t="s">
        <v>261</v>
      </c>
      <c r="D215" t="s">
        <v>262</v>
      </c>
      <c r="E215">
        <v>2024</v>
      </c>
      <c r="F215" t="s">
        <v>224</v>
      </c>
      <c r="G215" s="4">
        <v>45700</v>
      </c>
      <c r="H215" t="s">
        <v>328</v>
      </c>
      <c r="I215">
        <v>166667</v>
      </c>
      <c r="J215">
        <v>15000</v>
      </c>
      <c r="K215">
        <v>20000</v>
      </c>
      <c r="L215">
        <v>18750</v>
      </c>
      <c r="M215">
        <v>1250</v>
      </c>
    </row>
    <row r="216" spans="1:13" hidden="1">
      <c r="A216" t="s">
        <v>14</v>
      </c>
      <c r="B216" s="26" t="s">
        <v>423</v>
      </c>
      <c r="C216" t="s">
        <v>261</v>
      </c>
      <c r="D216" t="s">
        <v>262</v>
      </c>
      <c r="E216">
        <v>2024</v>
      </c>
      <c r="F216" t="s">
        <v>224</v>
      </c>
      <c r="G216" s="4">
        <v>45729</v>
      </c>
      <c r="H216" t="s">
        <v>329</v>
      </c>
      <c r="I216">
        <v>166667</v>
      </c>
      <c r="J216">
        <v>15000</v>
      </c>
      <c r="K216">
        <v>20000</v>
      </c>
      <c r="L216">
        <v>18750</v>
      </c>
      <c r="M216">
        <v>1250</v>
      </c>
    </row>
    <row r="217" spans="1:13">
      <c r="A217" t="s">
        <v>14</v>
      </c>
      <c r="B217" s="26" t="s">
        <v>423</v>
      </c>
      <c r="C217" t="s">
        <v>261</v>
      </c>
      <c r="D217" t="s">
        <v>262</v>
      </c>
      <c r="E217">
        <v>2024</v>
      </c>
      <c r="F217" t="s">
        <v>267</v>
      </c>
      <c r="G217" s="4">
        <v>45747</v>
      </c>
      <c r="H217" t="s">
        <v>268</v>
      </c>
      <c r="K217">
        <v>68043</v>
      </c>
      <c r="L217">
        <v>61100</v>
      </c>
      <c r="M217">
        <v>0</v>
      </c>
    </row>
    <row r="218" spans="1:13" hidden="1">
      <c r="A218" t="s">
        <v>14</v>
      </c>
      <c r="B218" s="26" t="s">
        <v>423</v>
      </c>
      <c r="C218" t="s">
        <v>261</v>
      </c>
      <c r="D218" t="s">
        <v>262</v>
      </c>
      <c r="E218">
        <v>2024</v>
      </c>
      <c r="F218" t="s">
        <v>269</v>
      </c>
      <c r="G218" s="4">
        <v>45747</v>
      </c>
      <c r="H218" t="s">
        <v>269</v>
      </c>
      <c r="K218">
        <v>1022458</v>
      </c>
      <c r="L218">
        <v>923231</v>
      </c>
      <c r="M218">
        <v>80000</v>
      </c>
    </row>
    <row r="219" spans="1:13">
      <c r="A219" t="s">
        <v>82</v>
      </c>
      <c r="B219" s="26" t="s">
        <v>424</v>
      </c>
      <c r="C219" t="s">
        <v>425</v>
      </c>
      <c r="D219" t="s">
        <v>337</v>
      </c>
      <c r="E219">
        <v>2024</v>
      </c>
      <c r="F219" t="s">
        <v>267</v>
      </c>
      <c r="G219" s="4">
        <v>45747</v>
      </c>
      <c r="H219" t="s">
        <v>268</v>
      </c>
      <c r="K219">
        <v>12369</v>
      </c>
      <c r="L219">
        <v>3782</v>
      </c>
      <c r="M219">
        <v>0</v>
      </c>
    </row>
    <row r="220" spans="1:13" hidden="1">
      <c r="A220" t="s">
        <v>82</v>
      </c>
      <c r="B220" s="26" t="s">
        <v>424</v>
      </c>
      <c r="C220" t="s">
        <v>425</v>
      </c>
      <c r="D220" t="s">
        <v>337</v>
      </c>
      <c r="E220">
        <v>2024</v>
      </c>
      <c r="F220" t="s">
        <v>269</v>
      </c>
      <c r="G220" s="4">
        <v>45747</v>
      </c>
      <c r="H220" t="s">
        <v>269</v>
      </c>
      <c r="K220">
        <v>162296</v>
      </c>
      <c r="L220">
        <v>49619</v>
      </c>
      <c r="M220">
        <v>8253</v>
      </c>
    </row>
    <row r="221" spans="1:13">
      <c r="A221" t="s">
        <v>82</v>
      </c>
      <c r="B221" s="26" t="s">
        <v>426</v>
      </c>
      <c r="C221" t="s">
        <v>419</v>
      </c>
      <c r="D221" t="s">
        <v>344</v>
      </c>
      <c r="E221">
        <v>2024</v>
      </c>
      <c r="F221" t="s">
        <v>267</v>
      </c>
      <c r="G221" s="4">
        <v>45747</v>
      </c>
      <c r="H221" t="s">
        <v>268</v>
      </c>
      <c r="K221">
        <v>1423</v>
      </c>
      <c r="L221">
        <v>436</v>
      </c>
      <c r="M221">
        <v>0</v>
      </c>
    </row>
    <row r="222" spans="1:13" hidden="1">
      <c r="A222" t="s">
        <v>82</v>
      </c>
      <c r="B222" s="26" t="s">
        <v>426</v>
      </c>
      <c r="C222" t="s">
        <v>419</v>
      </c>
      <c r="D222" t="s">
        <v>344</v>
      </c>
      <c r="E222">
        <v>2024</v>
      </c>
      <c r="F222" t="s">
        <v>269</v>
      </c>
      <c r="G222" s="4">
        <v>45747</v>
      </c>
      <c r="H222" t="s">
        <v>269</v>
      </c>
      <c r="K222">
        <v>18673</v>
      </c>
      <c r="L222">
        <v>5718</v>
      </c>
      <c r="M222">
        <v>5235</v>
      </c>
    </row>
    <row r="223" spans="1:13">
      <c r="A223" t="s">
        <v>82</v>
      </c>
      <c r="B223" s="26" t="s">
        <v>427</v>
      </c>
      <c r="C223" t="s">
        <v>408</v>
      </c>
      <c r="D223" t="s">
        <v>409</v>
      </c>
      <c r="E223">
        <v>2024</v>
      </c>
      <c r="F223" t="s">
        <v>267</v>
      </c>
      <c r="G223" s="4">
        <v>45747</v>
      </c>
      <c r="H223" t="s">
        <v>268</v>
      </c>
      <c r="K223">
        <v>1263</v>
      </c>
      <c r="L223">
        <v>387</v>
      </c>
      <c r="M223">
        <v>0</v>
      </c>
    </row>
    <row r="224" spans="1:13" hidden="1">
      <c r="A224" t="s">
        <v>82</v>
      </c>
      <c r="B224" s="26" t="s">
        <v>427</v>
      </c>
      <c r="C224" t="s">
        <v>408</v>
      </c>
      <c r="D224" t="s">
        <v>409</v>
      </c>
      <c r="E224">
        <v>2024</v>
      </c>
      <c r="F224" t="s">
        <v>269</v>
      </c>
      <c r="G224" s="4">
        <v>45747</v>
      </c>
      <c r="H224" t="s">
        <v>269</v>
      </c>
      <c r="K224">
        <v>16577</v>
      </c>
      <c r="L224">
        <v>5083</v>
      </c>
      <c r="M224">
        <v>5034</v>
      </c>
    </row>
    <row r="225" spans="1:13" hidden="1">
      <c r="A225" t="s">
        <v>14</v>
      </c>
      <c r="B225" s="26" t="s">
        <v>423</v>
      </c>
      <c r="C225" t="s">
        <v>261</v>
      </c>
      <c r="D225" t="s">
        <v>262</v>
      </c>
      <c r="E225">
        <v>2025</v>
      </c>
      <c r="F225" t="s">
        <v>224</v>
      </c>
      <c r="G225" s="4">
        <v>45762</v>
      </c>
      <c r="H225" t="s">
        <v>330</v>
      </c>
      <c r="I225">
        <v>175000</v>
      </c>
      <c r="J225">
        <v>15000</v>
      </c>
      <c r="K225">
        <v>21000</v>
      </c>
      <c r="L225">
        <v>19750</v>
      </c>
      <c r="M225">
        <v>1250</v>
      </c>
    </row>
    <row r="226" spans="1:13" hidden="1">
      <c r="A226" t="s">
        <v>14</v>
      </c>
      <c r="B226" s="26" t="s">
        <v>423</v>
      </c>
      <c r="C226" t="s">
        <v>261</v>
      </c>
      <c r="D226" t="s">
        <v>262</v>
      </c>
      <c r="E226">
        <v>2025</v>
      </c>
      <c r="F226" t="s">
        <v>224</v>
      </c>
      <c r="G226" s="4">
        <v>45790</v>
      </c>
      <c r="H226" t="s">
        <v>331</v>
      </c>
      <c r="I226">
        <v>175000</v>
      </c>
      <c r="J226">
        <v>15000</v>
      </c>
      <c r="K226">
        <v>21000</v>
      </c>
      <c r="L226">
        <v>19750</v>
      </c>
      <c r="M226">
        <v>1250</v>
      </c>
    </row>
    <row r="227" spans="1:13" hidden="1">
      <c r="A227" t="s">
        <v>14</v>
      </c>
      <c r="B227" s="26" t="s">
        <v>423</v>
      </c>
      <c r="C227" t="s">
        <v>261</v>
      </c>
      <c r="D227" t="s">
        <v>262</v>
      </c>
      <c r="E227">
        <v>2025</v>
      </c>
      <c r="F227" t="s">
        <v>224</v>
      </c>
      <c r="G227" s="4">
        <v>45820</v>
      </c>
      <c r="H227" t="s">
        <v>332</v>
      </c>
      <c r="I227">
        <v>175000</v>
      </c>
      <c r="J227">
        <v>15000</v>
      </c>
      <c r="K227">
        <v>21000</v>
      </c>
      <c r="L227">
        <v>19750</v>
      </c>
      <c r="M227">
        <v>1250</v>
      </c>
    </row>
    <row r="228" spans="1:13" hidden="1">
      <c r="A228" t="s">
        <v>14</v>
      </c>
      <c r="B228" s="26" t="s">
        <v>423</v>
      </c>
      <c r="C228" t="s">
        <v>261</v>
      </c>
      <c r="D228" t="s">
        <v>262</v>
      </c>
      <c r="E228">
        <v>2025</v>
      </c>
      <c r="F228" t="s">
        <v>224</v>
      </c>
      <c r="G228" s="4">
        <v>45853</v>
      </c>
      <c r="H228" t="s">
        <v>333</v>
      </c>
      <c r="I228">
        <v>175000</v>
      </c>
      <c r="J228">
        <v>15000</v>
      </c>
      <c r="K228">
        <v>21000</v>
      </c>
      <c r="L228">
        <v>19750</v>
      </c>
      <c r="M228">
        <v>1250</v>
      </c>
    </row>
    <row r="229" spans="1:13" hidden="1">
      <c r="A229" t="s">
        <v>14</v>
      </c>
      <c r="B229" s="26" t="s">
        <v>423</v>
      </c>
      <c r="C229" t="s">
        <v>261</v>
      </c>
      <c r="D229" t="s">
        <v>262</v>
      </c>
      <c r="E229">
        <v>2025</v>
      </c>
      <c r="F229" t="s">
        <v>224</v>
      </c>
      <c r="G229" s="4">
        <v>45883</v>
      </c>
      <c r="H229" t="s">
        <v>334</v>
      </c>
      <c r="I229">
        <v>175000</v>
      </c>
      <c r="J229">
        <v>15000</v>
      </c>
      <c r="K229">
        <v>21000</v>
      </c>
      <c r="L229">
        <v>19750</v>
      </c>
      <c r="M229">
        <v>1250</v>
      </c>
    </row>
    <row r="230" spans="1:13" hidden="1">
      <c r="A230" t="s">
        <v>14</v>
      </c>
      <c r="B230" s="26" t="s">
        <v>423</v>
      </c>
      <c r="C230" t="s">
        <v>261</v>
      </c>
      <c r="D230" t="s">
        <v>262</v>
      </c>
      <c r="E230">
        <v>2025</v>
      </c>
      <c r="F230" t="s">
        <v>224</v>
      </c>
      <c r="G230" s="4">
        <v>45913</v>
      </c>
      <c r="H230" t="s">
        <v>335</v>
      </c>
      <c r="I230">
        <v>175000</v>
      </c>
      <c r="J230">
        <v>15000</v>
      </c>
      <c r="K230">
        <v>21000</v>
      </c>
      <c r="L230">
        <v>19750</v>
      </c>
      <c r="M230">
        <v>1250</v>
      </c>
    </row>
    <row r="231" spans="1:13" hidden="1">
      <c r="A231" t="s">
        <v>14</v>
      </c>
      <c r="B231" s="26" t="s">
        <v>423</v>
      </c>
      <c r="C231" t="s">
        <v>261</v>
      </c>
      <c r="D231" t="s">
        <v>262</v>
      </c>
      <c r="E231">
        <v>2025</v>
      </c>
      <c r="F231" t="s">
        <v>224</v>
      </c>
      <c r="G231" s="4">
        <v>45945</v>
      </c>
      <c r="H231" t="s">
        <v>336</v>
      </c>
      <c r="I231">
        <v>175000</v>
      </c>
      <c r="J231">
        <v>15000</v>
      </c>
      <c r="K231">
        <v>21000</v>
      </c>
      <c r="L231">
        <v>19750</v>
      </c>
      <c r="M231">
        <v>1250</v>
      </c>
    </row>
    <row r="232" spans="1:13" hidden="1">
      <c r="A232" t="s">
        <v>14</v>
      </c>
      <c r="B232" s="26" t="s">
        <v>423</v>
      </c>
      <c r="C232" t="s">
        <v>261</v>
      </c>
      <c r="D232" t="s">
        <v>262</v>
      </c>
      <c r="E232">
        <v>2025</v>
      </c>
      <c r="F232" t="s">
        <v>269</v>
      </c>
      <c r="G232" s="4">
        <v>46112</v>
      </c>
      <c r="H232" t="s">
        <v>269</v>
      </c>
      <c r="K232">
        <v>1169458</v>
      </c>
      <c r="L232">
        <v>1061481</v>
      </c>
      <c r="M232">
        <v>88750</v>
      </c>
    </row>
    <row r="233" spans="1:13" hidden="1">
      <c r="A233" t="s">
        <v>82</v>
      </c>
      <c r="B233" s="26" t="s">
        <v>424</v>
      </c>
      <c r="C233" t="s">
        <v>425</v>
      </c>
      <c r="D233" t="s">
        <v>337</v>
      </c>
      <c r="E233">
        <v>2025</v>
      </c>
      <c r="F233" t="s">
        <v>269</v>
      </c>
      <c r="G233" s="4">
        <v>46112</v>
      </c>
      <c r="H233" t="s">
        <v>269</v>
      </c>
      <c r="K233">
        <v>162296</v>
      </c>
      <c r="L233">
        <v>49619</v>
      </c>
      <c r="M233">
        <v>8253</v>
      </c>
    </row>
    <row r="234" spans="1:13" hidden="1">
      <c r="A234" t="s">
        <v>82</v>
      </c>
      <c r="B234" s="26" t="s">
        <v>426</v>
      </c>
      <c r="C234" t="s">
        <v>419</v>
      </c>
      <c r="D234" t="s">
        <v>344</v>
      </c>
      <c r="E234">
        <v>2025</v>
      </c>
      <c r="F234" t="s">
        <v>269</v>
      </c>
      <c r="G234" s="4">
        <v>46112</v>
      </c>
      <c r="H234" t="s">
        <v>269</v>
      </c>
      <c r="K234">
        <v>18673</v>
      </c>
      <c r="L234">
        <v>5718</v>
      </c>
      <c r="M234">
        <v>5235</v>
      </c>
    </row>
    <row r="235" spans="1:13" hidden="1">
      <c r="A235" t="s">
        <v>82</v>
      </c>
      <c r="B235" s="26" t="s">
        <v>427</v>
      </c>
      <c r="C235" t="s">
        <v>408</v>
      </c>
      <c r="D235" t="s">
        <v>409</v>
      </c>
      <c r="E235">
        <v>2025</v>
      </c>
      <c r="F235" t="s">
        <v>269</v>
      </c>
      <c r="G235" s="4">
        <v>46112</v>
      </c>
      <c r="H235" t="s">
        <v>269</v>
      </c>
      <c r="K235">
        <v>16577</v>
      </c>
      <c r="L235">
        <v>5083</v>
      </c>
      <c r="M235">
        <v>5034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92C0-D80B-894E-ACA5-5EBFE29D5F14}">
  <dimension ref="A1:F31"/>
  <sheetViews>
    <sheetView workbookViewId="0">
      <selection activeCell="E23" sqref="E23"/>
    </sheetView>
  </sheetViews>
  <sheetFormatPr baseColWidth="10" defaultRowHeight="16"/>
  <cols>
    <col min="1" max="1" width="15.6640625" customWidth="1"/>
    <col min="2" max="2" width="15" customWidth="1"/>
    <col min="3" max="3" width="10.5" bestFit="1" customWidth="1"/>
    <col min="4" max="4" width="56.83203125" bestFit="1" customWidth="1"/>
    <col min="5" max="5" width="19.33203125" customWidth="1"/>
    <col min="6" max="6" width="11.5" bestFit="1" customWidth="1"/>
  </cols>
  <sheetData>
    <row r="1" spans="1:6">
      <c r="A1" t="s">
        <v>0</v>
      </c>
      <c r="B1" t="s">
        <v>428</v>
      </c>
      <c r="C1" t="s">
        <v>84</v>
      </c>
      <c r="D1" t="s">
        <v>259</v>
      </c>
      <c r="E1" t="s">
        <v>93</v>
      </c>
      <c r="F1" t="s">
        <v>258</v>
      </c>
    </row>
    <row r="2" spans="1:6">
      <c r="A2" t="s">
        <v>436</v>
      </c>
      <c r="B2" t="s">
        <v>429</v>
      </c>
      <c r="C2" s="5">
        <v>43555</v>
      </c>
      <c r="D2" s="27"/>
      <c r="E2" s="28">
        <v>41000</v>
      </c>
      <c r="F2" t="s">
        <v>224</v>
      </c>
    </row>
    <row r="3" spans="1:6">
      <c r="A3" t="s">
        <v>436</v>
      </c>
      <c r="B3" t="s">
        <v>430</v>
      </c>
      <c r="C3" s="5">
        <v>43921</v>
      </c>
      <c r="D3" s="27"/>
      <c r="E3" s="28">
        <v>150000</v>
      </c>
      <c r="F3" t="s">
        <v>224</v>
      </c>
    </row>
    <row r="4" spans="1:6">
      <c r="A4" t="s">
        <v>436</v>
      </c>
      <c r="B4" t="s">
        <v>430</v>
      </c>
      <c r="C4" s="5">
        <v>43921</v>
      </c>
      <c r="D4" s="27"/>
      <c r="E4" s="28">
        <v>7645</v>
      </c>
      <c r="F4" t="s">
        <v>267</v>
      </c>
    </row>
    <row r="5" spans="1:6">
      <c r="A5" t="s">
        <v>436</v>
      </c>
      <c r="B5" t="s">
        <v>431</v>
      </c>
      <c r="C5" s="5">
        <v>44196</v>
      </c>
      <c r="D5" s="27"/>
      <c r="E5" s="28">
        <v>80000</v>
      </c>
      <c r="F5" t="s">
        <v>224</v>
      </c>
    </row>
    <row r="6" spans="1:6">
      <c r="A6" t="s">
        <v>436</v>
      </c>
      <c r="B6" t="s">
        <v>431</v>
      </c>
      <c r="C6" s="5">
        <v>44287</v>
      </c>
      <c r="D6" s="27"/>
      <c r="E6" s="28">
        <v>19530</v>
      </c>
      <c r="F6" t="s">
        <v>267</v>
      </c>
    </row>
    <row r="7" spans="1:6">
      <c r="A7" t="s">
        <v>436</v>
      </c>
      <c r="B7" t="s">
        <v>432</v>
      </c>
      <c r="C7" s="5">
        <v>44409</v>
      </c>
      <c r="D7" s="27"/>
      <c r="E7" s="28">
        <v>15000</v>
      </c>
      <c r="F7" t="s">
        <v>224</v>
      </c>
    </row>
    <row r="8" spans="1:6">
      <c r="A8" t="s">
        <v>436</v>
      </c>
      <c r="B8" t="s">
        <v>432</v>
      </c>
      <c r="C8" s="5">
        <v>44288</v>
      </c>
      <c r="D8" s="27"/>
      <c r="E8" s="28">
        <v>10000</v>
      </c>
      <c r="F8" t="s">
        <v>224</v>
      </c>
    </row>
    <row r="9" spans="1:6">
      <c r="A9" t="s">
        <v>436</v>
      </c>
      <c r="B9" t="s">
        <v>431</v>
      </c>
      <c r="C9" s="5">
        <v>44198</v>
      </c>
      <c r="D9" s="27"/>
      <c r="E9" s="28">
        <v>10000</v>
      </c>
      <c r="F9" t="s">
        <v>224</v>
      </c>
    </row>
    <row r="10" spans="1:6">
      <c r="A10" t="s">
        <v>436</v>
      </c>
      <c r="B10" t="s">
        <v>431</v>
      </c>
      <c r="C10" s="5">
        <v>44229</v>
      </c>
      <c r="D10" s="27"/>
      <c r="E10" s="28">
        <v>10000</v>
      </c>
      <c r="F10" t="s">
        <v>224</v>
      </c>
    </row>
    <row r="11" spans="1:6">
      <c r="A11" t="s">
        <v>436</v>
      </c>
      <c r="B11" t="s">
        <v>431</v>
      </c>
      <c r="C11" s="5">
        <v>44253</v>
      </c>
      <c r="D11" s="27"/>
      <c r="E11" s="28">
        <v>40000</v>
      </c>
      <c r="F11" t="s">
        <v>224</v>
      </c>
    </row>
    <row r="12" spans="1:6">
      <c r="A12" t="s">
        <v>436</v>
      </c>
      <c r="B12" t="s">
        <v>431</v>
      </c>
      <c r="C12" s="5">
        <v>44257</v>
      </c>
      <c r="D12" s="27"/>
      <c r="E12" s="28">
        <v>10000</v>
      </c>
      <c r="F12" t="s">
        <v>224</v>
      </c>
    </row>
    <row r="13" spans="1:6">
      <c r="A13" t="s">
        <v>436</v>
      </c>
      <c r="B13" t="s">
        <v>432</v>
      </c>
      <c r="C13" s="5">
        <v>44440</v>
      </c>
      <c r="D13" s="27"/>
      <c r="E13" s="28">
        <v>15000</v>
      </c>
      <c r="F13" t="s">
        <v>224</v>
      </c>
    </row>
    <row r="14" spans="1:6">
      <c r="A14" t="s">
        <v>436</v>
      </c>
      <c r="B14" t="s">
        <v>432</v>
      </c>
      <c r="C14" s="5">
        <v>44470</v>
      </c>
      <c r="D14" s="27"/>
      <c r="E14" s="28">
        <v>15000</v>
      </c>
      <c r="F14" t="s">
        <v>224</v>
      </c>
    </row>
    <row r="15" spans="1:6">
      <c r="A15" t="s">
        <v>436</v>
      </c>
      <c r="B15" t="s">
        <v>432</v>
      </c>
      <c r="C15" s="5">
        <v>44501</v>
      </c>
      <c r="D15" s="27"/>
      <c r="E15" s="28">
        <v>15000</v>
      </c>
      <c r="F15" t="s">
        <v>224</v>
      </c>
    </row>
    <row r="16" spans="1:6">
      <c r="A16" t="s">
        <v>436</v>
      </c>
      <c r="B16" t="s">
        <v>432</v>
      </c>
      <c r="C16" s="5">
        <v>44531</v>
      </c>
      <c r="D16" s="27"/>
      <c r="E16" s="28">
        <v>15000</v>
      </c>
      <c r="F16" t="s">
        <v>224</v>
      </c>
    </row>
    <row r="17" spans="1:6">
      <c r="A17" t="s">
        <v>436</v>
      </c>
      <c r="B17" t="s">
        <v>432</v>
      </c>
      <c r="C17" s="5">
        <v>44562</v>
      </c>
      <c r="D17" s="27"/>
      <c r="E17" s="28">
        <v>15000</v>
      </c>
      <c r="F17" t="s">
        <v>224</v>
      </c>
    </row>
    <row r="18" spans="1:6">
      <c r="A18" t="s">
        <v>436</v>
      </c>
      <c r="B18" t="s">
        <v>432</v>
      </c>
      <c r="C18" s="5">
        <v>44593</v>
      </c>
      <c r="D18" s="27"/>
      <c r="E18" s="28">
        <v>15000</v>
      </c>
      <c r="F18" t="s">
        <v>224</v>
      </c>
    </row>
    <row r="19" spans="1:6">
      <c r="A19" t="s">
        <v>436</v>
      </c>
      <c r="B19" t="s">
        <v>432</v>
      </c>
      <c r="C19" s="5">
        <v>44621</v>
      </c>
      <c r="D19" s="27"/>
      <c r="E19" s="28">
        <v>15000</v>
      </c>
      <c r="F19" t="s">
        <v>224</v>
      </c>
    </row>
    <row r="20" spans="1:6">
      <c r="A20" t="s">
        <v>436</v>
      </c>
      <c r="B20" t="s">
        <v>433</v>
      </c>
      <c r="C20" s="5">
        <v>44590</v>
      </c>
      <c r="D20" s="27"/>
      <c r="E20" s="28">
        <v>20000</v>
      </c>
      <c r="F20" t="s">
        <v>224</v>
      </c>
    </row>
    <row r="21" spans="1:6">
      <c r="A21" t="s">
        <v>436</v>
      </c>
      <c r="B21" t="s">
        <v>433</v>
      </c>
      <c r="C21" s="5">
        <v>44593</v>
      </c>
      <c r="D21" s="27"/>
      <c r="E21" s="28">
        <v>15000</v>
      </c>
      <c r="F21" t="s">
        <v>224</v>
      </c>
    </row>
    <row r="22" spans="1:6">
      <c r="A22" t="s">
        <v>436</v>
      </c>
      <c r="B22" t="s">
        <v>433</v>
      </c>
      <c r="C22" s="5">
        <v>44621</v>
      </c>
      <c r="D22" s="27"/>
      <c r="E22" s="28">
        <v>15000</v>
      </c>
      <c r="F22" t="s">
        <v>224</v>
      </c>
    </row>
    <row r="23" spans="1:6">
      <c r="A23" t="s">
        <v>436</v>
      </c>
      <c r="B23" t="s">
        <v>433</v>
      </c>
      <c r="C23" s="5">
        <v>44651</v>
      </c>
      <c r="D23" s="27"/>
      <c r="E23" s="28">
        <v>32415</v>
      </c>
      <c r="F23" t="s">
        <v>267</v>
      </c>
    </row>
    <row r="24" spans="1:6">
      <c r="A24" t="s">
        <v>436</v>
      </c>
      <c r="B24" t="s">
        <v>434</v>
      </c>
      <c r="C24" s="5">
        <v>44713</v>
      </c>
      <c r="D24" s="27"/>
      <c r="E24" s="28">
        <v>15000</v>
      </c>
      <c r="F24" t="s">
        <v>224</v>
      </c>
    </row>
    <row r="25" spans="1:6">
      <c r="A25" t="s">
        <v>436</v>
      </c>
      <c r="B25" t="s">
        <v>434</v>
      </c>
      <c r="C25" s="5">
        <v>44743</v>
      </c>
      <c r="D25" s="27"/>
      <c r="E25" s="28">
        <v>15000</v>
      </c>
      <c r="F25" t="s">
        <v>224</v>
      </c>
    </row>
    <row r="26" spans="1:6">
      <c r="A26" t="s">
        <v>436</v>
      </c>
      <c r="B26" t="s">
        <v>434</v>
      </c>
      <c r="C26" s="5">
        <v>44774</v>
      </c>
      <c r="D26" s="27"/>
      <c r="E26" s="28">
        <v>15000</v>
      </c>
      <c r="F26" t="s">
        <v>224</v>
      </c>
    </row>
    <row r="27" spans="1:6">
      <c r="A27" t="s">
        <v>436</v>
      </c>
      <c r="B27" t="s">
        <v>435</v>
      </c>
      <c r="C27" s="5">
        <v>44805</v>
      </c>
      <c r="D27" s="27"/>
      <c r="E27" s="28">
        <v>15000</v>
      </c>
      <c r="F27" t="s">
        <v>224</v>
      </c>
    </row>
    <row r="28" spans="1:6">
      <c r="A28" t="s">
        <v>436</v>
      </c>
      <c r="B28" t="s">
        <v>440</v>
      </c>
      <c r="C28" s="5">
        <v>45659</v>
      </c>
      <c r="D28" t="s">
        <v>442</v>
      </c>
      <c r="E28" s="28">
        <v>15000</v>
      </c>
      <c r="F28" t="s">
        <v>224</v>
      </c>
    </row>
    <row r="29" spans="1:6">
      <c r="A29" t="s">
        <v>436</v>
      </c>
      <c r="B29" t="s">
        <v>440</v>
      </c>
      <c r="C29" s="5">
        <v>45690</v>
      </c>
      <c r="D29" t="s">
        <v>442</v>
      </c>
      <c r="E29" s="28">
        <v>15000</v>
      </c>
      <c r="F29" t="s">
        <v>224</v>
      </c>
    </row>
    <row r="30" spans="1:6">
      <c r="A30" t="s">
        <v>436</v>
      </c>
      <c r="B30" t="s">
        <v>440</v>
      </c>
      <c r="C30" s="5">
        <v>45718</v>
      </c>
      <c r="D30" t="s">
        <v>442</v>
      </c>
      <c r="E30" s="28">
        <v>15000</v>
      </c>
      <c r="F30" t="s">
        <v>224</v>
      </c>
    </row>
    <row r="31" spans="1:6">
      <c r="A31" t="s">
        <v>436</v>
      </c>
      <c r="B31" t="s">
        <v>440</v>
      </c>
      <c r="C31" s="5">
        <v>45747</v>
      </c>
      <c r="D31" s="27" t="s">
        <v>441</v>
      </c>
      <c r="E31" s="28">
        <v>84720</v>
      </c>
      <c r="F31" t="s">
        <v>267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EECD-99B7-C34D-BCFF-96DBD74071EC}">
  <dimension ref="A1:I9"/>
  <sheetViews>
    <sheetView workbookViewId="0">
      <selection activeCell="E8" sqref="E8"/>
    </sheetView>
  </sheetViews>
  <sheetFormatPr baseColWidth="10" defaultRowHeight="16"/>
  <cols>
    <col min="1" max="1" width="13.5" bestFit="1" customWidth="1"/>
    <col min="2" max="2" width="14.1640625" customWidth="1"/>
    <col min="3" max="3" width="64.5" bestFit="1" customWidth="1"/>
    <col min="4" max="4" width="24.5" customWidth="1"/>
    <col min="6" max="6" width="13.83203125" bestFit="1" customWidth="1"/>
    <col min="7" max="7" width="16.6640625" bestFit="1" customWidth="1"/>
    <col min="8" max="8" width="20.83203125" bestFit="1" customWidth="1"/>
  </cols>
  <sheetData>
    <row r="1" spans="1:9">
      <c r="A1" t="s">
        <v>568</v>
      </c>
      <c r="B1" t="s">
        <v>551</v>
      </c>
      <c r="C1" t="s">
        <v>88</v>
      </c>
      <c r="D1" t="s">
        <v>561</v>
      </c>
      <c r="E1" t="s">
        <v>198</v>
      </c>
      <c r="F1" t="s">
        <v>570</v>
      </c>
      <c r="G1" t="s">
        <v>571</v>
      </c>
      <c r="H1" t="s">
        <v>572</v>
      </c>
      <c r="I1" t="s">
        <v>573</v>
      </c>
    </row>
    <row r="2" spans="1:9">
      <c r="A2" t="s">
        <v>560</v>
      </c>
      <c r="B2" t="s">
        <v>552</v>
      </c>
      <c r="C2" t="s">
        <v>562</v>
      </c>
      <c r="D2">
        <v>119000</v>
      </c>
      <c r="E2">
        <v>2830.85</v>
      </c>
      <c r="F2">
        <v>56.156799999999997</v>
      </c>
      <c r="G2">
        <v>158971.49</v>
      </c>
    </row>
    <row r="3" spans="1:9">
      <c r="A3" t="s">
        <v>560</v>
      </c>
      <c r="B3" t="s">
        <v>552</v>
      </c>
      <c r="C3" t="s">
        <v>563</v>
      </c>
      <c r="D3">
        <v>72000</v>
      </c>
      <c r="E3">
        <v>3119.39</v>
      </c>
      <c r="F3">
        <v>29.929600000000001</v>
      </c>
      <c r="G3">
        <v>93362.11</v>
      </c>
    </row>
    <row r="4" spans="1:9">
      <c r="A4" t="s">
        <v>560</v>
      </c>
      <c r="B4" t="s">
        <v>552</v>
      </c>
      <c r="C4" t="s">
        <v>564</v>
      </c>
      <c r="D4">
        <v>59000</v>
      </c>
      <c r="E4">
        <v>4462.99</v>
      </c>
      <c r="F4">
        <v>28.102900000000002</v>
      </c>
      <c r="G4">
        <v>125422.92</v>
      </c>
    </row>
    <row r="5" spans="1:9">
      <c r="A5" t="s">
        <v>560</v>
      </c>
      <c r="B5" t="s">
        <v>552</v>
      </c>
      <c r="C5" t="s">
        <v>569</v>
      </c>
      <c r="D5">
        <v>250000</v>
      </c>
      <c r="G5">
        <v>377756.53</v>
      </c>
      <c r="H5">
        <v>127756.53</v>
      </c>
      <c r="I5">
        <v>10.58</v>
      </c>
    </row>
    <row r="6" spans="1:9">
      <c r="A6" t="s">
        <v>560</v>
      </c>
      <c r="B6" t="s">
        <v>553</v>
      </c>
      <c r="C6" t="s">
        <v>565</v>
      </c>
      <c r="D6">
        <v>800</v>
      </c>
      <c r="E6">
        <v>90.62</v>
      </c>
      <c r="F6">
        <v>27.888999999999999</v>
      </c>
      <c r="G6">
        <v>2527.42</v>
      </c>
    </row>
    <row r="7" spans="1:9">
      <c r="A7" t="s">
        <v>560</v>
      </c>
      <c r="B7" t="s">
        <v>553</v>
      </c>
      <c r="C7" t="s">
        <v>566</v>
      </c>
      <c r="D7">
        <v>1200</v>
      </c>
      <c r="E7">
        <v>170.64</v>
      </c>
      <c r="F7">
        <v>28.6706</v>
      </c>
      <c r="G7">
        <v>4892.2299999999996</v>
      </c>
    </row>
    <row r="8" spans="1:9">
      <c r="A8" t="s">
        <v>560</v>
      </c>
      <c r="B8" t="s">
        <v>553</v>
      </c>
      <c r="C8" t="s">
        <v>567</v>
      </c>
      <c r="D8">
        <v>6000</v>
      </c>
      <c r="E8">
        <v>203.68</v>
      </c>
      <c r="F8">
        <v>48.541499999999999</v>
      </c>
      <c r="G8">
        <v>9886.73</v>
      </c>
    </row>
    <row r="9" spans="1:9">
      <c r="A9" t="s">
        <v>560</v>
      </c>
      <c r="B9" t="s">
        <v>553</v>
      </c>
      <c r="C9" t="s">
        <v>569</v>
      </c>
      <c r="D9">
        <v>8000</v>
      </c>
      <c r="G9">
        <v>17306.38</v>
      </c>
      <c r="H9">
        <v>9306.3799999999992</v>
      </c>
      <c r="I9">
        <v>13.12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9BFF-9661-F84A-B701-B35EBD043A2F}">
  <dimension ref="A1:J10"/>
  <sheetViews>
    <sheetView workbookViewId="0">
      <selection activeCell="J1" sqref="J1"/>
    </sheetView>
  </sheetViews>
  <sheetFormatPr baseColWidth="10" defaultRowHeight="16"/>
  <cols>
    <col min="3" max="3" width="13.1640625" bestFit="1" customWidth="1"/>
    <col min="4" max="4" width="18.1640625" customWidth="1"/>
    <col min="5" max="5" width="17.5" bestFit="1" customWidth="1"/>
    <col min="6" max="6" width="26.5" bestFit="1" customWidth="1"/>
    <col min="7" max="7" width="20.6640625" customWidth="1"/>
    <col min="8" max="8" width="6.83203125" bestFit="1" customWidth="1"/>
    <col min="9" max="9" width="24.5" bestFit="1" customWidth="1"/>
    <col min="10" max="10" width="14.1640625" customWidth="1"/>
  </cols>
  <sheetData>
    <row r="1" spans="1:10">
      <c r="A1" t="s">
        <v>0</v>
      </c>
      <c r="B1" t="s">
        <v>1</v>
      </c>
      <c r="C1" t="s">
        <v>554</v>
      </c>
      <c r="D1" t="s">
        <v>550</v>
      </c>
      <c r="E1" t="s">
        <v>557</v>
      </c>
      <c r="F1" t="s">
        <v>556</v>
      </c>
      <c r="G1" t="s">
        <v>558</v>
      </c>
      <c r="H1" t="s">
        <v>12</v>
      </c>
      <c r="I1" t="s">
        <v>559</v>
      </c>
      <c r="J1" t="s">
        <v>551</v>
      </c>
    </row>
    <row r="2" spans="1:10">
      <c r="A2" t="s">
        <v>14</v>
      </c>
      <c r="B2" t="s">
        <v>15</v>
      </c>
      <c r="C2" s="26" t="s">
        <v>555</v>
      </c>
      <c r="D2" s="1">
        <v>43860</v>
      </c>
      <c r="E2" s="28">
        <v>15000</v>
      </c>
      <c r="F2" s="28">
        <v>15000</v>
      </c>
      <c r="G2" s="28">
        <v>37.5</v>
      </c>
      <c r="H2" s="28">
        <v>6.76</v>
      </c>
      <c r="I2" s="28">
        <v>15044.26</v>
      </c>
      <c r="J2" t="s">
        <v>552</v>
      </c>
    </row>
    <row r="3" spans="1:10">
      <c r="A3" t="s">
        <v>14</v>
      </c>
      <c r="B3" t="s">
        <v>15</v>
      </c>
      <c r="C3" s="26" t="s">
        <v>555</v>
      </c>
      <c r="D3" s="1">
        <v>43769</v>
      </c>
      <c r="E3" s="28">
        <v>15000</v>
      </c>
      <c r="F3" s="28">
        <v>15000</v>
      </c>
      <c r="G3" s="28">
        <v>37.5</v>
      </c>
      <c r="H3" s="28">
        <v>6.76</v>
      </c>
      <c r="I3" s="28">
        <v>15044.26</v>
      </c>
      <c r="J3" t="s">
        <v>552</v>
      </c>
    </row>
    <row r="4" spans="1:10">
      <c r="A4" t="s">
        <v>14</v>
      </c>
      <c r="B4" t="s">
        <v>15</v>
      </c>
      <c r="C4" s="26" t="s">
        <v>555</v>
      </c>
      <c r="D4" s="1">
        <v>43769</v>
      </c>
      <c r="E4" s="28">
        <v>4000</v>
      </c>
      <c r="F4" s="28">
        <v>4000</v>
      </c>
      <c r="G4" s="28">
        <v>20</v>
      </c>
      <c r="H4" s="28">
        <v>3.6</v>
      </c>
      <c r="I4" s="28">
        <v>4023.6</v>
      </c>
      <c r="J4" t="s">
        <v>553</v>
      </c>
    </row>
    <row r="5" spans="1:10">
      <c r="A5" t="s">
        <v>14</v>
      </c>
      <c r="B5" t="s">
        <v>15</v>
      </c>
      <c r="C5" s="26" t="s">
        <v>555</v>
      </c>
      <c r="D5" s="1">
        <v>43691</v>
      </c>
      <c r="E5" s="28">
        <v>20000</v>
      </c>
      <c r="F5" s="28">
        <v>20000</v>
      </c>
      <c r="G5" s="28">
        <v>250</v>
      </c>
      <c r="H5" s="28">
        <v>45</v>
      </c>
      <c r="I5" s="28">
        <v>20295</v>
      </c>
      <c r="J5" t="s">
        <v>552</v>
      </c>
    </row>
    <row r="6" spans="1:10">
      <c r="A6" t="s">
        <v>14</v>
      </c>
      <c r="B6" t="s">
        <v>15</v>
      </c>
      <c r="C6" s="26" t="s">
        <v>555</v>
      </c>
      <c r="D6" s="1">
        <v>43691</v>
      </c>
      <c r="E6" s="28">
        <v>4000</v>
      </c>
      <c r="F6" s="28">
        <v>4000</v>
      </c>
      <c r="G6" s="28">
        <v>20</v>
      </c>
      <c r="H6" s="28">
        <v>3.6</v>
      </c>
      <c r="I6" s="28">
        <v>4023.6</v>
      </c>
      <c r="J6" t="s">
        <v>553</v>
      </c>
    </row>
    <row r="7" spans="1:10">
      <c r="A7" t="s">
        <v>14</v>
      </c>
      <c r="B7" t="s">
        <v>15</v>
      </c>
      <c r="C7" s="26" t="s">
        <v>555</v>
      </c>
      <c r="D7" s="1">
        <v>44224</v>
      </c>
      <c r="E7" s="28">
        <v>50000</v>
      </c>
      <c r="F7" s="28">
        <v>50000</v>
      </c>
      <c r="G7" s="28">
        <v>125</v>
      </c>
      <c r="H7" s="28">
        <v>22.5</v>
      </c>
      <c r="I7" s="28">
        <v>50147.5</v>
      </c>
      <c r="J7" t="s">
        <v>552</v>
      </c>
    </row>
    <row r="8" spans="1:10">
      <c r="A8" t="s">
        <v>14</v>
      </c>
      <c r="B8" t="s">
        <v>15</v>
      </c>
      <c r="C8" s="26" t="s">
        <v>555</v>
      </c>
      <c r="D8" s="1">
        <v>44561</v>
      </c>
      <c r="E8" s="28">
        <v>50000</v>
      </c>
      <c r="F8" s="28">
        <v>50000</v>
      </c>
      <c r="G8" s="28">
        <v>125</v>
      </c>
      <c r="H8" s="28">
        <v>22.5</v>
      </c>
      <c r="I8" s="28">
        <v>50147.5</v>
      </c>
      <c r="J8" t="s">
        <v>552</v>
      </c>
    </row>
    <row r="9" spans="1:10">
      <c r="A9" t="s">
        <v>14</v>
      </c>
      <c r="B9" t="s">
        <v>15</v>
      </c>
      <c r="C9" s="26" t="s">
        <v>555</v>
      </c>
      <c r="D9" s="1">
        <v>44928</v>
      </c>
      <c r="E9" s="28">
        <v>50000</v>
      </c>
      <c r="F9" s="28">
        <v>50000</v>
      </c>
      <c r="G9" s="28">
        <v>250</v>
      </c>
      <c r="H9" s="28">
        <v>45</v>
      </c>
      <c r="I9" s="28">
        <v>50295</v>
      </c>
      <c r="J9" t="s">
        <v>552</v>
      </c>
    </row>
    <row r="10" spans="1:10">
      <c r="A10" t="s">
        <v>14</v>
      </c>
      <c r="B10" t="s">
        <v>15</v>
      </c>
      <c r="C10" s="26" t="s">
        <v>555</v>
      </c>
      <c r="D10" s="1">
        <v>45317</v>
      </c>
      <c r="E10" s="28">
        <v>50000</v>
      </c>
      <c r="F10" s="28">
        <v>50000</v>
      </c>
      <c r="G10" s="28">
        <v>250</v>
      </c>
      <c r="H10" s="28">
        <v>45</v>
      </c>
      <c r="I10" s="28">
        <v>50295</v>
      </c>
      <c r="J10" t="s">
        <v>552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09B3-B1DC-9244-AA7D-F6E4B21740A4}">
  <dimension ref="A1:I68"/>
  <sheetViews>
    <sheetView tabSelected="1" topLeftCell="A42" workbookViewId="0">
      <selection activeCell="E60" sqref="E60:E68"/>
    </sheetView>
  </sheetViews>
  <sheetFormatPr baseColWidth="10" defaultRowHeight="16"/>
  <cols>
    <col min="1" max="1" width="14.5" bestFit="1" customWidth="1"/>
    <col min="3" max="3" width="10.5" bestFit="1" customWidth="1"/>
    <col min="4" max="4" width="11.5" bestFit="1" customWidth="1"/>
    <col min="5" max="5" width="28.83203125" bestFit="1" customWidth="1"/>
    <col min="6" max="6" width="132.6640625" customWidth="1"/>
    <col min="7" max="7" width="15.83203125" customWidth="1"/>
    <col min="8" max="8" width="14.1640625" bestFit="1" customWidth="1"/>
    <col min="9" max="9" width="14.6640625" customWidth="1"/>
  </cols>
  <sheetData>
    <row r="1" spans="1:9">
      <c r="A1" t="s">
        <v>0</v>
      </c>
      <c r="B1" t="s">
        <v>1</v>
      </c>
      <c r="C1" t="s">
        <v>84</v>
      </c>
      <c r="D1" t="s">
        <v>258</v>
      </c>
      <c r="E1" t="s">
        <v>574</v>
      </c>
      <c r="F1" t="s">
        <v>259</v>
      </c>
      <c r="G1" t="s">
        <v>578</v>
      </c>
      <c r="H1" t="s">
        <v>93</v>
      </c>
      <c r="I1" t="s">
        <v>579</v>
      </c>
    </row>
    <row r="2" spans="1:9">
      <c r="A2" t="s">
        <v>14</v>
      </c>
      <c r="B2" t="s">
        <v>15</v>
      </c>
      <c r="C2" s="5">
        <v>44120</v>
      </c>
      <c r="D2" s="27" t="s">
        <v>224</v>
      </c>
      <c r="E2" t="s">
        <v>575</v>
      </c>
      <c r="G2">
        <v>2.5000000000000001E-2</v>
      </c>
      <c r="H2" s="28">
        <v>100020</v>
      </c>
      <c r="I2" s="27">
        <v>47046</v>
      </c>
    </row>
    <row r="3" spans="1:9">
      <c r="A3" t="s">
        <v>14</v>
      </c>
      <c r="B3" t="s">
        <v>15</v>
      </c>
      <c r="C3" s="5">
        <v>44126</v>
      </c>
      <c r="D3" s="27" t="s">
        <v>224</v>
      </c>
      <c r="E3" t="s">
        <v>576</v>
      </c>
      <c r="G3">
        <v>7.4999999999999997E-2</v>
      </c>
      <c r="H3" s="28">
        <v>100000</v>
      </c>
      <c r="I3" s="27">
        <v>46682</v>
      </c>
    </row>
    <row r="4" spans="1:9">
      <c r="A4" t="s">
        <v>14</v>
      </c>
      <c r="B4" t="s">
        <v>15</v>
      </c>
      <c r="C4" s="5">
        <v>44134</v>
      </c>
      <c r="D4" s="27" t="s">
        <v>224</v>
      </c>
      <c r="E4" t="s">
        <v>577</v>
      </c>
      <c r="G4">
        <v>9.1499999999999998E-2</v>
      </c>
      <c r="H4" s="28">
        <v>200000</v>
      </c>
    </row>
    <row r="5" spans="1:9">
      <c r="A5" t="s">
        <v>14</v>
      </c>
      <c r="B5" t="s">
        <v>15</v>
      </c>
      <c r="C5" s="5">
        <v>44166</v>
      </c>
      <c r="D5" s="34" t="s">
        <v>267</v>
      </c>
      <c r="E5" s="34" t="s">
        <v>577</v>
      </c>
      <c r="F5" s="34" t="s">
        <v>580</v>
      </c>
      <c r="G5" s="35"/>
      <c r="H5" s="28">
        <v>1655</v>
      </c>
    </row>
    <row r="6" spans="1:9">
      <c r="A6" t="s">
        <v>14</v>
      </c>
      <c r="B6" t="s">
        <v>15</v>
      </c>
      <c r="C6" s="5">
        <v>44197</v>
      </c>
      <c r="D6" s="34" t="s">
        <v>267</v>
      </c>
      <c r="E6" s="34" t="s">
        <v>577</v>
      </c>
      <c r="F6" s="34" t="s">
        <v>581</v>
      </c>
      <c r="G6" s="35"/>
      <c r="H6" s="28">
        <v>1554</v>
      </c>
    </row>
    <row r="7" spans="1:9">
      <c r="A7" t="s">
        <v>14</v>
      </c>
      <c r="B7" t="s">
        <v>15</v>
      </c>
      <c r="C7" s="5">
        <v>44228</v>
      </c>
      <c r="D7" s="34" t="s">
        <v>267</v>
      </c>
      <c r="E7" s="34" t="s">
        <v>577</v>
      </c>
      <c r="F7" s="34" t="s">
        <v>582</v>
      </c>
      <c r="G7" s="35"/>
      <c r="H7" s="28">
        <v>1554</v>
      </c>
    </row>
    <row r="8" spans="1:9">
      <c r="A8" t="s">
        <v>14</v>
      </c>
      <c r="B8" t="s">
        <v>15</v>
      </c>
      <c r="C8" s="5">
        <v>44256</v>
      </c>
      <c r="D8" s="34" t="s">
        <v>267</v>
      </c>
      <c r="E8" s="34" t="s">
        <v>577</v>
      </c>
      <c r="F8" s="34" t="s">
        <v>583</v>
      </c>
      <c r="G8" s="35"/>
      <c r="H8" s="28">
        <v>1404</v>
      </c>
    </row>
    <row r="9" spans="1:9">
      <c r="A9" t="s">
        <v>14</v>
      </c>
      <c r="B9" t="s">
        <v>15</v>
      </c>
      <c r="C9" s="5">
        <v>44286</v>
      </c>
      <c r="D9" s="34" t="s">
        <v>267</v>
      </c>
      <c r="E9" s="34" t="s">
        <v>577</v>
      </c>
      <c r="F9" s="34" t="s">
        <v>584</v>
      </c>
      <c r="G9" s="35"/>
      <c r="H9" s="28">
        <v>1554</v>
      </c>
    </row>
    <row r="10" spans="1:9">
      <c r="A10" t="s">
        <v>14</v>
      </c>
      <c r="B10" t="s">
        <v>15</v>
      </c>
      <c r="C10" s="5">
        <v>44316</v>
      </c>
      <c r="D10" s="34" t="s">
        <v>267</v>
      </c>
      <c r="E10" s="34" t="s">
        <v>577</v>
      </c>
      <c r="F10" s="34" t="s">
        <v>585</v>
      </c>
      <c r="G10" s="35"/>
      <c r="H10" s="28">
        <v>1504</v>
      </c>
    </row>
    <row r="11" spans="1:9">
      <c r="A11" t="s">
        <v>14</v>
      </c>
      <c r="B11" t="s">
        <v>15</v>
      </c>
      <c r="C11" s="5">
        <v>44348</v>
      </c>
      <c r="D11" s="34" t="s">
        <v>267</v>
      </c>
      <c r="E11" s="34" t="s">
        <v>577</v>
      </c>
      <c r="F11" s="34" t="s">
        <v>586</v>
      </c>
      <c r="G11" s="35"/>
      <c r="H11" s="28">
        <v>1554</v>
      </c>
    </row>
    <row r="12" spans="1:9">
      <c r="A12" t="s">
        <v>14</v>
      </c>
      <c r="B12" t="s">
        <v>15</v>
      </c>
      <c r="C12" s="5">
        <v>44378</v>
      </c>
      <c r="D12" s="34" t="s">
        <v>267</v>
      </c>
      <c r="E12" s="34" t="s">
        <v>577</v>
      </c>
      <c r="F12" s="34" t="s">
        <v>587</v>
      </c>
      <c r="G12" s="35"/>
      <c r="H12" s="28">
        <v>1504</v>
      </c>
    </row>
    <row r="13" spans="1:9">
      <c r="A13" t="s">
        <v>14</v>
      </c>
      <c r="B13" t="s">
        <v>15</v>
      </c>
      <c r="C13" s="5">
        <v>44408</v>
      </c>
      <c r="D13" s="34" t="s">
        <v>267</v>
      </c>
      <c r="E13" s="34" t="s">
        <v>577</v>
      </c>
      <c r="F13" s="34" t="s">
        <v>588</v>
      </c>
      <c r="G13" s="35"/>
      <c r="H13" s="28">
        <v>1554</v>
      </c>
    </row>
    <row r="14" spans="1:9">
      <c r="A14" t="s">
        <v>14</v>
      </c>
      <c r="B14" t="s">
        <v>15</v>
      </c>
      <c r="C14" s="5">
        <v>44440</v>
      </c>
      <c r="D14" s="34" t="s">
        <v>267</v>
      </c>
      <c r="E14" s="34" t="s">
        <v>577</v>
      </c>
      <c r="F14" s="34" t="s">
        <v>589</v>
      </c>
      <c r="G14" s="35"/>
      <c r="H14" s="28">
        <v>1554</v>
      </c>
    </row>
    <row r="15" spans="1:9">
      <c r="A15" t="s">
        <v>14</v>
      </c>
      <c r="B15" t="s">
        <v>15</v>
      </c>
      <c r="C15" s="5">
        <v>44470</v>
      </c>
      <c r="D15" s="34" t="s">
        <v>267</v>
      </c>
      <c r="E15" s="34" t="s">
        <v>577</v>
      </c>
      <c r="F15" s="34" t="s">
        <v>590</v>
      </c>
      <c r="G15" s="35"/>
      <c r="H15" s="28">
        <v>1504</v>
      </c>
    </row>
    <row r="16" spans="1:9">
      <c r="A16" t="s">
        <v>14</v>
      </c>
      <c r="B16" t="s">
        <v>15</v>
      </c>
      <c r="C16" s="5">
        <v>44501</v>
      </c>
      <c r="D16" s="34" t="s">
        <v>267</v>
      </c>
      <c r="E16" s="34" t="s">
        <v>577</v>
      </c>
      <c r="F16" s="34" t="s">
        <v>591</v>
      </c>
      <c r="G16" s="35"/>
      <c r="H16" s="28">
        <v>1554</v>
      </c>
    </row>
    <row r="17" spans="1:8">
      <c r="A17" t="s">
        <v>14</v>
      </c>
      <c r="B17" t="s">
        <v>15</v>
      </c>
      <c r="C17" s="5">
        <v>44531</v>
      </c>
      <c r="D17" s="34" t="s">
        <v>267</v>
      </c>
      <c r="E17" s="34" t="s">
        <v>577</v>
      </c>
      <c r="F17" s="34" t="s">
        <v>592</v>
      </c>
      <c r="G17" s="35"/>
      <c r="H17" s="28">
        <v>1504</v>
      </c>
    </row>
    <row r="18" spans="1:8">
      <c r="A18" t="s">
        <v>14</v>
      </c>
      <c r="B18" t="s">
        <v>15</v>
      </c>
      <c r="C18" s="5">
        <v>44562</v>
      </c>
      <c r="D18" s="34" t="s">
        <v>267</v>
      </c>
      <c r="E18" s="34" t="s">
        <v>577</v>
      </c>
      <c r="F18" s="34" t="s">
        <v>593</v>
      </c>
      <c r="G18" s="35"/>
      <c r="H18" s="28">
        <v>1554</v>
      </c>
    </row>
    <row r="19" spans="1:8">
      <c r="A19" t="s">
        <v>14</v>
      </c>
      <c r="B19" t="s">
        <v>15</v>
      </c>
      <c r="C19" s="5">
        <v>44593</v>
      </c>
      <c r="D19" s="34" t="s">
        <v>267</v>
      </c>
      <c r="E19" s="34" t="s">
        <v>577</v>
      </c>
      <c r="F19" s="34" t="s">
        <v>594</v>
      </c>
      <c r="G19" s="35"/>
      <c r="H19" s="37">
        <v>1554</v>
      </c>
    </row>
    <row r="20" spans="1:8">
      <c r="A20" t="s">
        <v>14</v>
      </c>
      <c r="B20" t="s">
        <v>15</v>
      </c>
      <c r="C20" s="5">
        <v>44621</v>
      </c>
      <c r="D20" s="34" t="s">
        <v>267</v>
      </c>
      <c r="E20" s="34" t="s">
        <v>577</v>
      </c>
      <c r="F20" s="34" t="s">
        <v>595</v>
      </c>
      <c r="G20" s="35"/>
      <c r="H20" s="28">
        <v>1404</v>
      </c>
    </row>
    <row r="21" spans="1:8">
      <c r="A21" t="s">
        <v>14</v>
      </c>
      <c r="B21" t="s">
        <v>15</v>
      </c>
      <c r="C21" s="5">
        <v>44651</v>
      </c>
      <c r="D21" s="34" t="s">
        <v>267</v>
      </c>
      <c r="E21" s="34" t="s">
        <v>577</v>
      </c>
      <c r="F21" s="34" t="s">
        <v>596</v>
      </c>
      <c r="G21" s="35"/>
      <c r="H21" s="28">
        <v>1554</v>
      </c>
    </row>
    <row r="22" spans="1:8">
      <c r="A22" t="s">
        <v>14</v>
      </c>
      <c r="B22" t="s">
        <v>15</v>
      </c>
      <c r="C22" s="5">
        <v>44681</v>
      </c>
      <c r="D22" s="34" t="s">
        <v>267</v>
      </c>
      <c r="E22" s="34" t="s">
        <v>577</v>
      </c>
      <c r="F22" s="34" t="s">
        <v>597</v>
      </c>
      <c r="G22" s="35"/>
      <c r="H22" s="28">
        <v>1504</v>
      </c>
    </row>
    <row r="23" spans="1:8">
      <c r="A23" t="s">
        <v>14</v>
      </c>
      <c r="B23" t="s">
        <v>15</v>
      </c>
      <c r="C23" s="5">
        <v>44713</v>
      </c>
      <c r="D23" s="34" t="s">
        <v>267</v>
      </c>
      <c r="E23" s="34" t="s">
        <v>577</v>
      </c>
      <c r="F23" s="34" t="s">
        <v>598</v>
      </c>
      <c r="G23" s="35"/>
      <c r="H23" s="28">
        <v>1554</v>
      </c>
    </row>
    <row r="24" spans="1:8">
      <c r="A24" t="s">
        <v>14</v>
      </c>
      <c r="B24" t="s">
        <v>15</v>
      </c>
      <c r="C24" s="5">
        <v>44743</v>
      </c>
      <c r="D24" s="34" t="s">
        <v>267</v>
      </c>
      <c r="E24" s="34" t="s">
        <v>577</v>
      </c>
      <c r="F24" s="34" t="s">
        <v>599</v>
      </c>
      <c r="G24" s="35"/>
      <c r="H24" s="28">
        <v>1504</v>
      </c>
    </row>
    <row r="25" spans="1:8">
      <c r="A25" t="s">
        <v>14</v>
      </c>
      <c r="B25" t="s">
        <v>15</v>
      </c>
      <c r="C25" s="5">
        <v>44774</v>
      </c>
      <c r="D25" s="34" t="s">
        <v>267</v>
      </c>
      <c r="E25" s="34" t="s">
        <v>577</v>
      </c>
      <c r="F25" s="34" t="s">
        <v>600</v>
      </c>
      <c r="G25" s="35"/>
      <c r="H25" s="28">
        <v>1554</v>
      </c>
    </row>
    <row r="26" spans="1:8">
      <c r="A26" t="s">
        <v>14</v>
      </c>
      <c r="B26" t="s">
        <v>15</v>
      </c>
      <c r="C26" s="5">
        <v>44805</v>
      </c>
      <c r="D26" s="34" t="s">
        <v>267</v>
      </c>
      <c r="E26" s="34" t="s">
        <v>577</v>
      </c>
      <c r="F26" s="34" t="s">
        <v>601</v>
      </c>
      <c r="G26" s="35"/>
      <c r="H26" s="28">
        <v>1554</v>
      </c>
    </row>
    <row r="27" spans="1:8">
      <c r="A27" t="s">
        <v>14</v>
      </c>
      <c r="B27" t="s">
        <v>15</v>
      </c>
      <c r="C27" s="5">
        <v>44835</v>
      </c>
      <c r="D27" s="34" t="s">
        <v>267</v>
      </c>
      <c r="E27" s="34" t="s">
        <v>577</v>
      </c>
      <c r="F27" s="34" t="s">
        <v>602</v>
      </c>
      <c r="G27" s="35"/>
      <c r="H27" s="28">
        <v>1504</v>
      </c>
    </row>
    <row r="28" spans="1:8">
      <c r="A28" t="s">
        <v>14</v>
      </c>
      <c r="B28" t="s">
        <v>15</v>
      </c>
      <c r="C28" s="5">
        <v>44866</v>
      </c>
      <c r="D28" s="34" t="s">
        <v>267</v>
      </c>
      <c r="E28" s="34" t="s">
        <v>577</v>
      </c>
      <c r="F28" s="34" t="s">
        <v>603</v>
      </c>
      <c r="G28" s="35"/>
      <c r="H28" s="28">
        <v>1554</v>
      </c>
    </row>
    <row r="29" spans="1:8">
      <c r="A29" t="s">
        <v>14</v>
      </c>
      <c r="B29" t="s">
        <v>15</v>
      </c>
      <c r="C29" s="5">
        <v>44896</v>
      </c>
      <c r="D29" s="34" t="s">
        <v>267</v>
      </c>
      <c r="E29" s="34" t="s">
        <v>577</v>
      </c>
      <c r="F29" s="34" t="s">
        <v>604</v>
      </c>
      <c r="G29" s="35"/>
      <c r="H29" s="28">
        <v>1504</v>
      </c>
    </row>
    <row r="30" spans="1:8">
      <c r="A30" t="s">
        <v>14</v>
      </c>
      <c r="B30" t="s">
        <v>15</v>
      </c>
      <c r="C30" s="5">
        <v>44926</v>
      </c>
      <c r="D30" s="34" t="s">
        <v>267</v>
      </c>
      <c r="E30" s="34" t="s">
        <v>577</v>
      </c>
      <c r="F30" s="34" t="s">
        <v>605</v>
      </c>
      <c r="G30" s="35"/>
      <c r="H30" s="28">
        <v>1554</v>
      </c>
    </row>
    <row r="31" spans="1:8">
      <c r="A31" t="s">
        <v>14</v>
      </c>
      <c r="B31" t="s">
        <v>15</v>
      </c>
      <c r="C31" s="5">
        <v>44958</v>
      </c>
      <c r="D31" s="34" t="s">
        <v>267</v>
      </c>
      <c r="E31" s="34" t="s">
        <v>577</v>
      </c>
      <c r="F31" s="34" t="s">
        <v>606</v>
      </c>
      <c r="G31" s="36"/>
      <c r="H31" s="28">
        <v>1554</v>
      </c>
    </row>
    <row r="32" spans="1:8">
      <c r="A32" t="s">
        <v>14</v>
      </c>
      <c r="B32" t="s">
        <v>15</v>
      </c>
      <c r="C32" s="5">
        <v>44986</v>
      </c>
      <c r="D32" s="34" t="s">
        <v>267</v>
      </c>
      <c r="E32" s="34" t="s">
        <v>577</v>
      </c>
      <c r="F32" s="34" t="s">
        <v>607</v>
      </c>
      <c r="G32" s="36"/>
      <c r="H32" s="28">
        <v>1404</v>
      </c>
    </row>
    <row r="33" spans="1:8">
      <c r="A33" t="s">
        <v>14</v>
      </c>
      <c r="B33" t="s">
        <v>15</v>
      </c>
      <c r="C33" s="5">
        <v>45015</v>
      </c>
      <c r="D33" s="34" t="s">
        <v>267</v>
      </c>
      <c r="E33" s="34" t="s">
        <v>577</v>
      </c>
      <c r="F33" s="34" t="s">
        <v>608</v>
      </c>
      <c r="G33" s="36"/>
      <c r="H33" s="28">
        <v>1554</v>
      </c>
    </row>
    <row r="34" spans="1:8">
      <c r="A34" t="s">
        <v>14</v>
      </c>
      <c r="B34" t="s">
        <v>15</v>
      </c>
      <c r="C34" s="5">
        <v>45045</v>
      </c>
      <c r="D34" s="34" t="s">
        <v>267</v>
      </c>
      <c r="E34" s="34" t="s">
        <v>577</v>
      </c>
      <c r="F34" s="34" t="s">
        <v>609</v>
      </c>
      <c r="G34" s="36"/>
      <c r="H34" s="28">
        <v>1504</v>
      </c>
    </row>
    <row r="35" spans="1:8">
      <c r="A35" t="s">
        <v>14</v>
      </c>
      <c r="B35" t="s">
        <v>15</v>
      </c>
      <c r="C35" s="5">
        <v>45078</v>
      </c>
      <c r="D35" s="34" t="s">
        <v>267</v>
      </c>
      <c r="E35" s="34" t="s">
        <v>577</v>
      </c>
      <c r="F35" s="34" t="s">
        <v>610</v>
      </c>
      <c r="G35" s="36"/>
      <c r="H35" s="28">
        <v>1554</v>
      </c>
    </row>
    <row r="36" spans="1:8">
      <c r="A36" t="s">
        <v>14</v>
      </c>
      <c r="B36" t="s">
        <v>15</v>
      </c>
      <c r="C36" s="5">
        <v>45108</v>
      </c>
      <c r="D36" s="34" t="s">
        <v>267</v>
      </c>
      <c r="E36" s="34" t="s">
        <v>577</v>
      </c>
      <c r="F36" s="34" t="s">
        <v>611</v>
      </c>
      <c r="G36" s="36"/>
      <c r="H36" s="28">
        <v>1504</v>
      </c>
    </row>
    <row r="37" spans="1:8">
      <c r="A37" t="s">
        <v>14</v>
      </c>
      <c r="B37" t="s">
        <v>15</v>
      </c>
      <c r="C37" s="5">
        <v>45139</v>
      </c>
      <c r="D37" s="34" t="s">
        <v>267</v>
      </c>
      <c r="E37" s="34" t="s">
        <v>577</v>
      </c>
      <c r="F37" s="34" t="s">
        <v>612</v>
      </c>
      <c r="G37" s="36"/>
      <c r="H37" s="28">
        <v>940</v>
      </c>
    </row>
    <row r="38" spans="1:8">
      <c r="A38" t="s">
        <v>14</v>
      </c>
      <c r="B38" t="s">
        <v>15</v>
      </c>
      <c r="C38" s="5">
        <v>45170</v>
      </c>
      <c r="D38" s="34" t="s">
        <v>267</v>
      </c>
      <c r="E38" s="34" t="s">
        <v>577</v>
      </c>
      <c r="F38" s="34" t="s">
        <v>613</v>
      </c>
      <c r="G38" s="36"/>
      <c r="H38" s="28">
        <v>1398</v>
      </c>
    </row>
    <row r="39" spans="1:8">
      <c r="A39" t="s">
        <v>14</v>
      </c>
      <c r="B39" t="s">
        <v>15</v>
      </c>
      <c r="C39" s="5">
        <v>45199</v>
      </c>
      <c r="D39" s="34" t="s">
        <v>267</v>
      </c>
      <c r="E39" s="34" t="s">
        <v>577</v>
      </c>
      <c r="F39" s="34" t="s">
        <v>614</v>
      </c>
      <c r="G39" s="36"/>
      <c r="H39" s="28">
        <v>1353</v>
      </c>
    </row>
    <row r="40" spans="1:8">
      <c r="A40" t="s">
        <v>14</v>
      </c>
      <c r="B40" t="s">
        <v>15</v>
      </c>
      <c r="C40" s="5">
        <v>45231</v>
      </c>
      <c r="D40" s="34" t="s">
        <v>267</v>
      </c>
      <c r="E40" s="34" t="s">
        <v>577</v>
      </c>
      <c r="F40" s="34" t="s">
        <v>615</v>
      </c>
      <c r="G40" s="36"/>
      <c r="H40" s="28">
        <v>1398</v>
      </c>
    </row>
    <row r="41" spans="1:8">
      <c r="A41" t="s">
        <v>14</v>
      </c>
      <c r="B41" t="s">
        <v>15</v>
      </c>
      <c r="C41" s="5">
        <v>45261</v>
      </c>
      <c r="D41" s="34" t="s">
        <v>267</v>
      </c>
      <c r="E41" s="34" t="s">
        <v>577</v>
      </c>
      <c r="F41" s="34" t="s">
        <v>616</v>
      </c>
      <c r="G41" s="36"/>
      <c r="H41" s="28">
        <v>1353</v>
      </c>
    </row>
    <row r="42" spans="1:8">
      <c r="A42" t="s">
        <v>14</v>
      </c>
      <c r="B42" t="s">
        <v>15</v>
      </c>
      <c r="C42" s="5">
        <v>45292</v>
      </c>
      <c r="D42" s="34" t="s">
        <v>267</v>
      </c>
      <c r="E42" s="34" t="s">
        <v>577</v>
      </c>
      <c r="F42" s="34" t="s">
        <v>617</v>
      </c>
      <c r="G42" s="36"/>
      <c r="H42" s="28">
        <v>1398</v>
      </c>
    </row>
    <row r="43" spans="1:8">
      <c r="A43" t="s">
        <v>14</v>
      </c>
      <c r="B43" t="s">
        <v>15</v>
      </c>
      <c r="C43" s="5">
        <v>45323</v>
      </c>
      <c r="D43" s="34" t="s">
        <v>267</v>
      </c>
      <c r="E43" s="34" t="s">
        <v>577</v>
      </c>
      <c r="F43" s="34" t="s">
        <v>618</v>
      </c>
      <c r="G43" s="36"/>
      <c r="H43" s="28">
        <v>1395</v>
      </c>
    </row>
    <row r="44" spans="1:8">
      <c r="A44" t="s">
        <v>14</v>
      </c>
      <c r="B44" t="s">
        <v>15</v>
      </c>
      <c r="C44" s="5">
        <v>45352</v>
      </c>
      <c r="D44" s="34" t="s">
        <v>267</v>
      </c>
      <c r="E44" s="34" t="s">
        <v>577</v>
      </c>
      <c r="F44" s="34" t="s">
        <v>619</v>
      </c>
      <c r="G44" s="36"/>
      <c r="H44" s="28">
        <v>1305</v>
      </c>
    </row>
    <row r="45" spans="1:8">
      <c r="A45" t="s">
        <v>14</v>
      </c>
      <c r="B45" t="s">
        <v>15</v>
      </c>
      <c r="C45" s="5">
        <v>45381</v>
      </c>
      <c r="D45" s="34" t="s">
        <v>267</v>
      </c>
      <c r="E45" s="34" t="s">
        <v>577</v>
      </c>
      <c r="F45" s="34" t="s">
        <v>620</v>
      </c>
      <c r="G45" s="36"/>
      <c r="H45" s="28">
        <v>1395</v>
      </c>
    </row>
    <row r="46" spans="1:8">
      <c r="A46" t="s">
        <v>14</v>
      </c>
      <c r="B46" t="s">
        <v>15</v>
      </c>
      <c r="C46" s="5">
        <v>45412</v>
      </c>
      <c r="D46" s="34" t="s">
        <v>267</v>
      </c>
      <c r="E46" s="34" t="s">
        <v>577</v>
      </c>
      <c r="F46" s="34" t="s">
        <v>621</v>
      </c>
      <c r="G46" s="36"/>
      <c r="H46" s="28">
        <v>1500</v>
      </c>
    </row>
    <row r="47" spans="1:8">
      <c r="A47" t="s">
        <v>14</v>
      </c>
      <c r="B47" t="s">
        <v>15</v>
      </c>
      <c r="C47" s="5">
        <v>45444</v>
      </c>
      <c r="D47" s="34" t="s">
        <v>267</v>
      </c>
      <c r="E47" s="34" t="s">
        <v>577</v>
      </c>
      <c r="F47" s="34" t="s">
        <v>622</v>
      </c>
      <c r="G47" s="36"/>
      <c r="H47" s="28">
        <v>1550</v>
      </c>
    </row>
    <row r="48" spans="1:8">
      <c r="A48" t="s">
        <v>14</v>
      </c>
      <c r="B48" t="s">
        <v>15</v>
      </c>
      <c r="C48" s="5">
        <v>45474</v>
      </c>
      <c r="D48" s="34" t="s">
        <v>267</v>
      </c>
      <c r="E48" s="34" t="s">
        <v>577</v>
      </c>
      <c r="F48" s="34" t="s">
        <v>623</v>
      </c>
      <c r="G48" s="36"/>
      <c r="H48" s="28">
        <v>1500</v>
      </c>
    </row>
    <row r="49" spans="1:8">
      <c r="A49" t="s">
        <v>14</v>
      </c>
      <c r="B49" t="s">
        <v>15</v>
      </c>
      <c r="C49" s="5">
        <v>45505</v>
      </c>
      <c r="D49" s="34" t="s">
        <v>267</v>
      </c>
      <c r="E49" s="34" t="s">
        <v>577</v>
      </c>
      <c r="F49" s="34" t="s">
        <v>624</v>
      </c>
      <c r="G49" s="36"/>
      <c r="H49" s="28">
        <v>940</v>
      </c>
    </row>
    <row r="50" spans="1:8">
      <c r="A50" t="s">
        <v>14</v>
      </c>
      <c r="B50" t="s">
        <v>15</v>
      </c>
      <c r="C50" s="5">
        <v>45535</v>
      </c>
      <c r="D50" s="34" t="s">
        <v>267</v>
      </c>
      <c r="E50" s="34" t="s">
        <v>577</v>
      </c>
      <c r="F50" s="34" t="s">
        <v>625</v>
      </c>
      <c r="G50" s="36"/>
      <c r="H50" s="28">
        <v>1395</v>
      </c>
    </row>
    <row r="51" spans="1:8">
      <c r="A51" t="s">
        <v>14</v>
      </c>
      <c r="B51" t="s">
        <v>15</v>
      </c>
      <c r="C51" s="5">
        <v>45566</v>
      </c>
      <c r="D51" s="34" t="s">
        <v>267</v>
      </c>
      <c r="E51" s="34" t="s">
        <v>577</v>
      </c>
      <c r="F51" s="34" t="s">
        <v>626</v>
      </c>
      <c r="G51" s="36"/>
      <c r="H51" s="28">
        <v>1350</v>
      </c>
    </row>
    <row r="52" spans="1:8">
      <c r="A52" t="s">
        <v>14</v>
      </c>
      <c r="B52" t="s">
        <v>15</v>
      </c>
      <c r="C52" s="5">
        <v>45596</v>
      </c>
      <c r="D52" s="34" t="s">
        <v>267</v>
      </c>
      <c r="E52" s="34" t="s">
        <v>577</v>
      </c>
      <c r="F52" s="34" t="s">
        <v>627</v>
      </c>
      <c r="G52" s="36"/>
      <c r="H52" s="28">
        <v>1395</v>
      </c>
    </row>
    <row r="53" spans="1:8">
      <c r="A53" t="s">
        <v>14</v>
      </c>
      <c r="B53" t="s">
        <v>15</v>
      </c>
      <c r="C53" s="5">
        <v>45626</v>
      </c>
      <c r="D53" s="34" t="s">
        <v>267</v>
      </c>
      <c r="E53" s="34" t="s">
        <v>577</v>
      </c>
      <c r="F53" s="34" t="s">
        <v>628</v>
      </c>
      <c r="G53" s="36"/>
      <c r="H53" s="28">
        <v>1350</v>
      </c>
    </row>
    <row r="54" spans="1:8">
      <c r="A54" t="s">
        <v>14</v>
      </c>
      <c r="B54" t="s">
        <v>15</v>
      </c>
      <c r="C54" s="5">
        <v>45658</v>
      </c>
      <c r="D54" s="34" t="s">
        <v>267</v>
      </c>
      <c r="E54" s="34" t="s">
        <v>577</v>
      </c>
      <c r="F54" s="34" t="s">
        <v>629</v>
      </c>
      <c r="G54" s="36"/>
      <c r="H54" s="28">
        <v>1395</v>
      </c>
    </row>
    <row r="55" spans="1:8">
      <c r="A55" t="s">
        <v>14</v>
      </c>
      <c r="B55" t="s">
        <v>15</v>
      </c>
      <c r="C55" s="5">
        <v>45689</v>
      </c>
      <c r="D55" s="34" t="s">
        <v>267</v>
      </c>
      <c r="E55" s="34" t="s">
        <v>577</v>
      </c>
      <c r="F55" s="34" t="s">
        <v>630</v>
      </c>
      <c r="G55" s="36"/>
      <c r="H55" s="28">
        <v>1398</v>
      </c>
    </row>
    <row r="56" spans="1:8">
      <c r="A56" t="s">
        <v>14</v>
      </c>
      <c r="B56" t="s">
        <v>15</v>
      </c>
      <c r="C56" s="5">
        <v>45717</v>
      </c>
      <c r="D56" s="34" t="s">
        <v>267</v>
      </c>
      <c r="E56" s="34" t="s">
        <v>577</v>
      </c>
      <c r="F56" s="34" t="s">
        <v>631</v>
      </c>
      <c r="G56" s="36"/>
      <c r="H56" s="28">
        <v>1263</v>
      </c>
    </row>
    <row r="57" spans="1:8">
      <c r="A57" t="s">
        <v>14</v>
      </c>
      <c r="B57" t="s">
        <v>15</v>
      </c>
      <c r="C57" s="5">
        <v>45745</v>
      </c>
      <c r="D57" s="34" t="s">
        <v>267</v>
      </c>
      <c r="E57" s="34" t="s">
        <v>577</v>
      </c>
      <c r="F57" s="34" t="s">
        <v>632</v>
      </c>
      <c r="G57" s="36"/>
      <c r="H57" s="28">
        <v>1398</v>
      </c>
    </row>
    <row r="58" spans="1:8">
      <c r="A58" t="s">
        <v>14</v>
      </c>
      <c r="B58" t="s">
        <v>15</v>
      </c>
      <c r="C58" s="5">
        <v>45777</v>
      </c>
      <c r="D58" s="34" t="s">
        <v>267</v>
      </c>
      <c r="E58" s="34" t="s">
        <v>577</v>
      </c>
      <c r="F58" s="34" t="s">
        <v>633</v>
      </c>
      <c r="G58" s="36"/>
      <c r="H58" s="28">
        <v>1504</v>
      </c>
    </row>
    <row r="59" spans="1:8">
      <c r="A59" s="32" t="s">
        <v>14</v>
      </c>
      <c r="B59" s="33" t="s">
        <v>15</v>
      </c>
      <c r="C59" s="5">
        <v>44197</v>
      </c>
      <c r="D59" s="38" t="s">
        <v>267</v>
      </c>
      <c r="E59" s="34" t="s">
        <v>576</v>
      </c>
      <c r="F59" s="34" t="s">
        <v>634</v>
      </c>
      <c r="H59" s="28">
        <v>1370.42</v>
      </c>
    </row>
    <row r="60" spans="1:8">
      <c r="A60" s="32" t="s">
        <v>14</v>
      </c>
      <c r="B60" s="33" t="s">
        <v>15</v>
      </c>
      <c r="C60" s="5">
        <v>44378</v>
      </c>
      <c r="D60" s="38" t="s">
        <v>267</v>
      </c>
      <c r="E60" s="34" t="s">
        <v>576</v>
      </c>
      <c r="F60" s="34" t="s">
        <v>635</v>
      </c>
      <c r="H60" s="28">
        <v>3575</v>
      </c>
    </row>
    <row r="61" spans="1:8">
      <c r="A61" s="32" t="s">
        <v>14</v>
      </c>
      <c r="B61" s="33" t="s">
        <v>15</v>
      </c>
      <c r="C61" s="5">
        <v>44562</v>
      </c>
      <c r="D61" s="38" t="s">
        <v>267</v>
      </c>
      <c r="E61" s="34" t="s">
        <v>576</v>
      </c>
      <c r="F61" s="34" t="s">
        <v>636</v>
      </c>
      <c r="H61" s="28">
        <v>3575</v>
      </c>
    </row>
    <row r="62" spans="1:8">
      <c r="A62" s="32" t="s">
        <v>14</v>
      </c>
      <c r="B62" s="33" t="s">
        <v>15</v>
      </c>
      <c r="C62" s="5">
        <v>44743</v>
      </c>
      <c r="D62" s="38" t="s">
        <v>267</v>
      </c>
      <c r="E62" s="34" t="s">
        <v>576</v>
      </c>
      <c r="F62" s="34" t="s">
        <v>638</v>
      </c>
      <c r="H62" s="28">
        <v>3575</v>
      </c>
    </row>
    <row r="63" spans="1:8">
      <c r="A63" s="32" t="s">
        <v>14</v>
      </c>
      <c r="B63" s="33" t="s">
        <v>15</v>
      </c>
      <c r="C63" s="5">
        <v>44928</v>
      </c>
      <c r="D63" s="38" t="s">
        <v>267</v>
      </c>
      <c r="E63" s="34" t="s">
        <v>576</v>
      </c>
      <c r="F63" s="34" t="s">
        <v>639</v>
      </c>
      <c r="H63" s="28">
        <v>3575</v>
      </c>
    </row>
    <row r="64" spans="1:8">
      <c r="A64" s="32" t="s">
        <v>14</v>
      </c>
      <c r="B64" s="33" t="s">
        <v>15</v>
      </c>
      <c r="C64" s="5">
        <v>45108</v>
      </c>
      <c r="D64" s="38" t="s">
        <v>267</v>
      </c>
      <c r="E64" s="34" t="s">
        <v>576</v>
      </c>
      <c r="F64" s="34" t="s">
        <v>640</v>
      </c>
      <c r="H64" s="28">
        <v>3675</v>
      </c>
    </row>
    <row r="65" spans="1:9">
      <c r="A65" s="32" t="s">
        <v>14</v>
      </c>
      <c r="B65" s="33" t="s">
        <v>15</v>
      </c>
      <c r="C65" s="5">
        <v>45292</v>
      </c>
      <c r="D65" s="38" t="s">
        <v>267</v>
      </c>
      <c r="E65" s="34" t="s">
        <v>576</v>
      </c>
      <c r="F65" s="34" t="s">
        <v>641</v>
      </c>
      <c r="H65" s="28">
        <v>4025</v>
      </c>
    </row>
    <row r="66" spans="1:9">
      <c r="A66" s="32" t="s">
        <v>14</v>
      </c>
      <c r="B66" s="33" t="s">
        <v>15</v>
      </c>
      <c r="C66" s="5">
        <v>45474</v>
      </c>
      <c r="D66" s="38" t="s">
        <v>267</v>
      </c>
      <c r="E66" s="34" t="s">
        <v>576</v>
      </c>
      <c r="F66" s="34" t="s">
        <v>642</v>
      </c>
      <c r="H66" s="28">
        <v>4025</v>
      </c>
    </row>
    <row r="67" spans="1:9">
      <c r="A67" s="32" t="s">
        <v>14</v>
      </c>
      <c r="B67" s="33" t="s">
        <v>15</v>
      </c>
      <c r="C67" s="5">
        <v>45658</v>
      </c>
      <c r="D67" s="38" t="s">
        <v>267</v>
      </c>
      <c r="E67" s="34" t="s">
        <v>576</v>
      </c>
      <c r="F67" s="34" t="s">
        <v>643</v>
      </c>
      <c r="H67" s="28">
        <v>4025</v>
      </c>
    </row>
    <row r="68" spans="1:9">
      <c r="A68" s="30" t="s">
        <v>14</v>
      </c>
      <c r="B68" s="31" t="s">
        <v>15</v>
      </c>
      <c r="C68" s="5">
        <v>45839</v>
      </c>
      <c r="D68" s="39" t="s">
        <v>267</v>
      </c>
      <c r="E68" s="34" t="s">
        <v>576</v>
      </c>
      <c r="F68" s="34" t="s">
        <v>637</v>
      </c>
      <c r="G68" s="40"/>
      <c r="H68" s="28">
        <v>4025</v>
      </c>
      <c r="I68" s="40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8AA3-5F7B-0F4F-9F1A-67E462F92F59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5A77-45FD-2148-8985-B47A3F1F158D}">
  <dimension ref="A1"/>
  <sheetViews>
    <sheetView workbookViewId="0">
      <selection activeCell="S40" sqref="S40"/>
    </sheetView>
  </sheetViews>
  <sheetFormatPr baseColWidth="10" defaultRowHeight="16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81B7-62DA-CE48-BE68-97867DA49745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BE1D-BB7E-EA46-A221-951775196D27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2936-A7AB-664E-8E22-C559BDDB31F0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5E7A-EFAF-9D4C-A02C-2CD96DAD0E8A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People</vt:lpstr>
      <vt:lpstr>Equity</vt:lpstr>
      <vt:lpstr>Equity Transaction</vt:lpstr>
      <vt:lpstr>Equity Dividend</vt:lpstr>
      <vt:lpstr>Mutual Fund</vt:lpstr>
      <vt:lpstr>Mutual Fund Transaction</vt:lpstr>
      <vt:lpstr>Mutual Fund Dividend</vt:lpstr>
      <vt:lpstr>LIC</vt:lpstr>
      <vt:lpstr>Providend Fund</vt:lpstr>
      <vt:lpstr>SSY</vt:lpstr>
      <vt:lpstr>NPS</vt:lpstr>
      <vt:lpstr>NPS Transaction</vt:lpstr>
      <vt:lpstr>Bond</vt:lpstr>
      <vt:lpstr>Fixed Deposit</vt:lpstr>
      <vt:lpstr>ESPP</vt:lpstr>
      <vt:lpstr>Gold</vt:lpstr>
      <vt:lpstr>Silver</vt:lpstr>
      <vt:lpstr>Fixed Assets</vt:lpstr>
      <vt:lpstr>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Venkatesan</dc:creator>
  <cp:lastModifiedBy>Arun Venkatesan</cp:lastModifiedBy>
  <dcterms:created xsi:type="dcterms:W3CDTF">2025-12-22T05:25:11Z</dcterms:created>
  <dcterms:modified xsi:type="dcterms:W3CDTF">2025-12-30T12:02:40Z</dcterms:modified>
</cp:coreProperties>
</file>