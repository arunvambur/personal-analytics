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n/repos/arunvambur/personal-analytics/data/arun/lic/"/>
    </mc:Choice>
  </mc:AlternateContent>
  <xr:revisionPtr revIDLastSave="0" documentId="13_ncr:1_{77E0EA2D-FE03-FD4A-9C73-9B3290C072B6}" xr6:coauthVersionLast="47" xr6:coauthVersionMax="47" xr10:uidLastSave="{00000000-0000-0000-0000-000000000000}"/>
  <bookViews>
    <workbookView xWindow="0" yWindow="740" windowWidth="30240" windowHeight="18900" xr2:uid="{DF25AE00-802E-1349-8246-40F5FDAB2B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" i="1" l="1"/>
  <c r="J46" i="1"/>
  <c r="K2" i="1"/>
  <c r="K3" i="1"/>
  <c r="K4" i="1"/>
  <c r="K5" i="1"/>
  <c r="K6" i="1"/>
  <c r="K7" i="1"/>
  <c r="K8" i="1"/>
  <c r="K9" i="1"/>
  <c r="K11" i="1"/>
  <c r="K12" i="1"/>
  <c r="K13" i="1"/>
  <c r="K14" i="1"/>
  <c r="K15" i="1"/>
  <c r="K16" i="1"/>
  <c r="K17" i="1"/>
  <c r="K18" i="1"/>
  <c r="K20" i="1"/>
  <c r="K21" i="1"/>
  <c r="K22" i="1"/>
  <c r="K23" i="1"/>
  <c r="K24" i="1"/>
  <c r="K25" i="1"/>
  <c r="K26" i="1"/>
  <c r="K27" i="1"/>
  <c r="K29" i="1"/>
  <c r="K30" i="1"/>
  <c r="K31" i="1"/>
  <c r="K32" i="1"/>
  <c r="K33" i="1"/>
  <c r="K34" i="1"/>
  <c r="K35" i="1"/>
  <c r="K36" i="1"/>
  <c r="K38" i="1"/>
  <c r="K39" i="1"/>
  <c r="K40" i="1"/>
  <c r="K41" i="1"/>
  <c r="K42" i="1"/>
  <c r="K43" i="1"/>
  <c r="K44" i="1"/>
  <c r="K45" i="1"/>
  <c r="I46" i="1"/>
  <c r="K46" i="1" l="1"/>
</calcChain>
</file>

<file path=xl/sharedStrings.xml><?xml version="1.0" encoding="utf-8"?>
<sst xmlns="http://schemas.openxmlformats.org/spreadsheetml/2006/main" count="169" uniqueCount="52">
  <si>
    <t>#</t>
  </si>
  <si>
    <t>Premium Due Date</t>
  </si>
  <si>
    <t>Paid on</t>
  </si>
  <si>
    <t>Premium Amount</t>
  </si>
  <si>
    <t>Total</t>
  </si>
  <si>
    <t>PR0227127800011011</t>
  </si>
  <si>
    <t>Transaction No</t>
  </si>
  <si>
    <t>Late Fee</t>
  </si>
  <si>
    <t>Total Amount</t>
  </si>
  <si>
    <t>Policy No</t>
  </si>
  <si>
    <t>Agency Code</t>
  </si>
  <si>
    <t>‭734747593‬</t>
  </si>
  <si>
    <t>PR0315311800011011</t>
  </si>
  <si>
    <t>PR0627595700011112</t>
  </si>
  <si>
    <t>PR1024166300011112</t>
  </si>
  <si>
    <t>PR0376500200011213</t>
  </si>
  <si>
    <t>PR0828455100011213</t>
  </si>
  <si>
    <t>PR0320070200011314</t>
  </si>
  <si>
    <t>PR0911831300011314</t>
  </si>
  <si>
    <t>PR0337184600011415</t>
  </si>
  <si>
    <t>PR1003477000011415</t>
  </si>
  <si>
    <t>PR0441696100011516</t>
  </si>
  <si>
    <t>PR1663506300011516</t>
  </si>
  <si>
    <t>PR0837513400011617</t>
  </si>
  <si>
    <t>PR0609717600011718</t>
  </si>
  <si>
    <t>PR1925027500011718</t>
  </si>
  <si>
    <t>PR0768348500011819</t>
  </si>
  <si>
    <t>PR1972146800011819</t>
  </si>
  <si>
    <t>PR0741573300011920</t>
  </si>
  <si>
    <t>PR2321735300011920</t>
  </si>
  <si>
    <t>Comments</t>
  </si>
  <si>
    <t>Missing Data No receipt</t>
  </si>
  <si>
    <t>PR3626845100012021</t>
  </si>
  <si>
    <t>PR0795036300012122</t>
  </si>
  <si>
    <t>PR3422682700012122</t>
  </si>
  <si>
    <t>PR1240784700012223</t>
  </si>
  <si>
    <t>PR3191769100012223</t>
  </si>
  <si>
    <t>PR1317778600012324</t>
  </si>
  <si>
    <t>PR3161970100012324</t>
  </si>
  <si>
    <t>PR6323470200012425</t>
  </si>
  <si>
    <t>Paid as part of single payment including december as well</t>
  </si>
  <si>
    <t>PR2528478300012526</t>
  </si>
  <si>
    <t>Transaction Type</t>
  </si>
  <si>
    <t>Contribution</t>
  </si>
  <si>
    <t>Benefit</t>
  </si>
  <si>
    <t>Benefit Amount</t>
  </si>
  <si>
    <t>Survival Benefit of ₹ 70,000.00 under your policy has been processed through cheque No. 0059075 on 11/11/2011.</t>
  </si>
  <si>
    <t>Survival Benefit of ₹ 70,000.00 under your policy has been processed through NEFT on 18/11/2015</t>
  </si>
  <si>
    <t>Survival Benefit of ₹ 69,970.00 under your policy has been processed through NEFT on 11/11/2019</t>
  </si>
  <si>
    <t>Survival Benefit of ₹ 70,000.00 under your policy has been processed through NEFT on 27/09/2023.</t>
  </si>
  <si>
    <t>Name</t>
  </si>
  <si>
    <t>Arun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</si>
</sst>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4" x14ac:knownFonts="1">
    <font>
      <sz val="12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000078"/>
      <name val="Helvetica"/>
      <family val="2"/>
    </font>
    <font>
      <sz val="11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15" fontId="0" fillId="0" borderId="0" xfId="0" applyNumberFormat="1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0" fontId="2" fillId="0" borderId="0" xfId="0" applyFont="1"/>
    <xf numFmtId="0" fontId="3" fillId="0" borderId="0" xfId="0" applyFont="1"/>
    <xf numFmtId="2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2" formatCode="0.00"/>
    </dxf>
    <dxf>
      <numFmt numFmtId="4" formatCode="#,##0.00"/>
    </dxf>
    <dxf>
      <numFmt numFmtId="164" formatCode="dd/m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52814F-520A-184C-B707-9004C932D510}" name="Table9" displayName="Table9" ref="A1:M46" totalsRowShown="0">
  <tableColumns count="13">
    <tableColumn id="1" xr3:uid="{2F6F71FE-4ADB-F646-A32F-0C2128000137}" name="#"/>
    <tableColumn id="10" xr3:uid="{5C44D794-2825-F340-8C4A-ED07F599AA54}" name="Policy No"/>
    <tableColumn id="11" xr3:uid="{EAED1518-EFA8-6242-B383-4EA14A4CA2F2}" name="Agency Code"/>
    <tableColumn id="15" xr3:uid="{34CE6B15-53E1-4046-AC74-19EE3B0E353B}" name="Name"/>
    <tableColumn id="2" xr3:uid="{15B51850-F54E-BE46-A7F4-6E2329BEFB4A}" name="Premium Due Date" dataDxfId="4"/>
    <tableColumn id="3" xr3:uid="{A252AD7B-2462-3C4A-A81B-04F2F7BC43C5}" name="Paid on"/>
    <tableColumn id="8" xr3:uid="{402A34E0-E855-374B-91CE-A216DAA0DDE0}" name="Transaction No"/>
    <tableColumn id="13" xr3:uid="{2E7D893E-0818-E742-B945-BA0F62B44503}" name="Transaction Type"/>
    <tableColumn id="4" xr3:uid="{DBFB443D-A244-574A-8CC3-F52CA7B2EC50}" name="Premium Amount"/>
    <tableColumn id="5" xr3:uid="{EDAAAC22-6E58-2642-9B82-6AD9FD43E41E}" name="Late Fee" dataDxfId="2"/>
    <tableColumn id="9" xr3:uid="{A6EED59C-C990-9D4B-9E59-DCB168065021}" name="Total Amount" dataDxfId="3">
      <calculatedColumnFormula>Table9[[#This Row],[Premium Amount]]+Table9[[#This Row],[Late Fee]]</calculatedColumnFormula>
    </tableColumn>
    <tableColumn id="14" xr3:uid="{997CA9A5-19B2-4C47-A9BD-F47AFD29BA4B}" name="Benefit Amount" dataDxfId="0"/>
    <tableColumn id="12" xr3:uid="{A7DDD653-848E-A64F-82C7-4BBCD4A4B5AA}" name="Comments" dataDxfId="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23D87-15F9-FB48-9D88-681470483E92}">
  <dimension ref="A1:M46"/>
  <sheetViews>
    <sheetView tabSelected="1" workbookViewId="0">
      <selection activeCell="L1" sqref="L1"/>
    </sheetView>
  </sheetViews>
  <sheetFormatPr baseColWidth="10" defaultRowHeight="16" x14ac:dyDescent="0.2"/>
  <cols>
    <col min="1" max="1" width="5" bestFit="1" customWidth="1"/>
    <col min="5" max="5" width="17" bestFit="1" customWidth="1"/>
    <col min="6" max="6" width="12.33203125" customWidth="1"/>
    <col min="7" max="7" width="19.5" bestFit="1" customWidth="1"/>
    <col min="8" max="8" width="19.5" customWidth="1"/>
    <col min="9" max="9" width="15.6640625" bestFit="1" customWidth="1"/>
    <col min="12" max="12" width="14" bestFit="1" customWidth="1"/>
    <col min="13" max="13" width="94.5" bestFit="1" customWidth="1"/>
  </cols>
  <sheetData>
    <row r="1" spans="1:13" x14ac:dyDescent="0.2">
      <c r="A1" t="s">
        <v>0</v>
      </c>
      <c r="B1" t="s">
        <v>9</v>
      </c>
      <c r="C1" t="s">
        <v>10</v>
      </c>
      <c r="D1" t="s">
        <v>50</v>
      </c>
      <c r="E1" t="s">
        <v>1</v>
      </c>
      <c r="F1" t="s">
        <v>2</v>
      </c>
      <c r="G1" t="s">
        <v>6</v>
      </c>
      <c r="H1" t="s">
        <v>42</v>
      </c>
      <c r="I1" t="s">
        <v>3</v>
      </c>
      <c r="J1" t="s">
        <v>7</v>
      </c>
      <c r="K1" t="s">
        <v>8</v>
      </c>
      <c r="L1" t="s">
        <v>45</v>
      </c>
      <c r="M1" t="s">
        <v>30</v>
      </c>
    </row>
    <row r="2" spans="1:13" x14ac:dyDescent="0.2">
      <c r="A2">
        <v>1</v>
      </c>
      <c r="B2" t="s">
        <v>11</v>
      </c>
      <c r="C2" s="6">
        <v>2093733</v>
      </c>
      <c r="D2" s="6" t="s">
        <v>51</v>
      </c>
      <c r="E2" s="2">
        <v>39441</v>
      </c>
      <c r="H2" t="s">
        <v>43</v>
      </c>
      <c r="I2" s="1">
        <v>12209</v>
      </c>
      <c r="J2" s="8"/>
      <c r="K2" s="1">
        <f>Table9[[#This Row],[Premium Amount]]+Table9[[#This Row],[Late Fee]]</f>
        <v>12209</v>
      </c>
      <c r="L2" s="1"/>
      <c r="M2" s="1"/>
    </row>
    <row r="3" spans="1:13" x14ac:dyDescent="0.2">
      <c r="A3">
        <v>2</v>
      </c>
      <c r="B3" t="s">
        <v>11</v>
      </c>
      <c r="C3" s="6">
        <v>2093733</v>
      </c>
      <c r="D3" s="6" t="s">
        <v>51</v>
      </c>
      <c r="E3" s="2">
        <v>39624</v>
      </c>
      <c r="H3" t="s">
        <v>43</v>
      </c>
      <c r="I3" s="1">
        <v>12209</v>
      </c>
      <c r="J3" s="8"/>
      <c r="K3" s="1">
        <f>Table9[[#This Row],[Premium Amount]]+Table9[[#This Row],[Late Fee]]</f>
        <v>12209</v>
      </c>
      <c r="L3" s="1"/>
      <c r="M3" s="1"/>
    </row>
    <row r="4" spans="1:13" x14ac:dyDescent="0.2">
      <c r="A4">
        <v>3</v>
      </c>
      <c r="B4" t="s">
        <v>11</v>
      </c>
      <c r="C4" s="6">
        <v>2093733</v>
      </c>
      <c r="D4" s="6" t="s">
        <v>51</v>
      </c>
      <c r="E4" s="2">
        <v>39807</v>
      </c>
      <c r="H4" t="s">
        <v>43</v>
      </c>
      <c r="I4" s="1">
        <v>12209</v>
      </c>
      <c r="J4" s="8"/>
      <c r="K4" s="1">
        <f>Table9[[#This Row],[Premium Amount]]+Table9[[#This Row],[Late Fee]]</f>
        <v>12209</v>
      </c>
      <c r="L4" s="1"/>
      <c r="M4" s="1"/>
    </row>
    <row r="5" spans="1:13" x14ac:dyDescent="0.2">
      <c r="A5">
        <v>4</v>
      </c>
      <c r="B5" t="s">
        <v>11</v>
      </c>
      <c r="C5" s="6">
        <v>2093733</v>
      </c>
      <c r="D5" s="6" t="s">
        <v>51</v>
      </c>
      <c r="E5" s="2">
        <v>39989</v>
      </c>
      <c r="H5" t="s">
        <v>43</v>
      </c>
      <c r="I5" s="1">
        <v>12209</v>
      </c>
      <c r="J5" s="8"/>
      <c r="K5" s="1">
        <f>Table9[[#This Row],[Premium Amount]]+Table9[[#This Row],[Late Fee]]</f>
        <v>12209</v>
      </c>
      <c r="L5" s="1"/>
      <c r="M5" s="1"/>
    </row>
    <row r="6" spans="1:13" x14ac:dyDescent="0.2">
      <c r="A6">
        <v>5</v>
      </c>
      <c r="B6" t="s">
        <v>11</v>
      </c>
      <c r="C6" s="6">
        <v>2093733</v>
      </c>
      <c r="D6" s="6" t="s">
        <v>51</v>
      </c>
      <c r="E6" s="2">
        <v>40172</v>
      </c>
      <c r="H6" t="s">
        <v>43</v>
      </c>
      <c r="I6" s="1">
        <v>12209</v>
      </c>
      <c r="J6" s="8"/>
      <c r="K6" s="1">
        <f>Table9[[#This Row],[Premium Amount]]+Table9[[#This Row],[Late Fee]]</f>
        <v>12209</v>
      </c>
      <c r="L6" s="1"/>
      <c r="M6" s="1"/>
    </row>
    <row r="7" spans="1:13" x14ac:dyDescent="0.2">
      <c r="A7">
        <v>6</v>
      </c>
      <c r="B7" t="s">
        <v>11</v>
      </c>
      <c r="C7" s="6">
        <v>2093733</v>
      </c>
      <c r="D7" s="6" t="s">
        <v>51</v>
      </c>
      <c r="E7" s="2">
        <v>40354</v>
      </c>
      <c r="F7" s="2">
        <v>40478</v>
      </c>
      <c r="G7" t="s">
        <v>5</v>
      </c>
      <c r="H7" t="s">
        <v>43</v>
      </c>
      <c r="I7" s="1">
        <v>12209</v>
      </c>
      <c r="J7" s="8">
        <v>325.60000000000002</v>
      </c>
      <c r="K7" s="1">
        <f>Table9[[#This Row],[Premium Amount]]+Table9[[#This Row],[Late Fee]]</f>
        <v>12534.6</v>
      </c>
      <c r="L7" s="1"/>
      <c r="M7" s="1"/>
    </row>
    <row r="8" spans="1:13" x14ac:dyDescent="0.2">
      <c r="A8">
        <v>7</v>
      </c>
      <c r="B8" t="s">
        <v>11</v>
      </c>
      <c r="C8" s="6">
        <v>2093733</v>
      </c>
      <c r="D8" s="6" t="s">
        <v>51</v>
      </c>
      <c r="E8" s="2">
        <v>40537</v>
      </c>
      <c r="F8" s="2">
        <v>40540</v>
      </c>
      <c r="G8" s="7" t="s">
        <v>12</v>
      </c>
      <c r="H8" t="s">
        <v>43</v>
      </c>
      <c r="I8" s="1">
        <v>12209</v>
      </c>
      <c r="J8" s="8">
        <v>0</v>
      </c>
      <c r="K8" s="1">
        <f>Table9[[#This Row],[Premium Amount]]+Table9[[#This Row],[Late Fee]]</f>
        <v>12209</v>
      </c>
      <c r="L8" s="1"/>
      <c r="M8" s="1"/>
    </row>
    <row r="9" spans="1:13" x14ac:dyDescent="0.2">
      <c r="A9">
        <v>8</v>
      </c>
      <c r="B9" t="s">
        <v>11</v>
      </c>
      <c r="C9" s="6">
        <v>2093733</v>
      </c>
      <c r="D9" s="6" t="s">
        <v>51</v>
      </c>
      <c r="E9" s="2">
        <v>40719</v>
      </c>
      <c r="F9" s="2">
        <v>40724</v>
      </c>
      <c r="G9" s="7" t="s">
        <v>13</v>
      </c>
      <c r="H9" t="s">
        <v>43</v>
      </c>
      <c r="I9" s="1">
        <v>12209</v>
      </c>
      <c r="J9" s="8">
        <v>0</v>
      </c>
      <c r="K9" s="1">
        <f>Table9[[#This Row],[Premium Amount]]+Table9[[#This Row],[Late Fee]]</f>
        <v>12209</v>
      </c>
      <c r="L9" s="1"/>
      <c r="M9" s="1"/>
    </row>
    <row r="10" spans="1:13" x14ac:dyDescent="0.2">
      <c r="B10" t="s">
        <v>11</v>
      </c>
      <c r="C10" s="6"/>
      <c r="D10" s="6" t="s">
        <v>51</v>
      </c>
      <c r="E10" s="2">
        <v>40858</v>
      </c>
      <c r="F10" s="2">
        <v>40858</v>
      </c>
      <c r="G10" s="7"/>
      <c r="H10" t="s">
        <v>44</v>
      </c>
      <c r="I10" s="1"/>
      <c r="J10" s="8"/>
      <c r="K10" s="1"/>
      <c r="L10" s="1">
        <v>70000</v>
      </c>
      <c r="M10" s="1" t="s">
        <v>46</v>
      </c>
    </row>
    <row r="11" spans="1:13" x14ac:dyDescent="0.2">
      <c r="A11">
        <v>9</v>
      </c>
      <c r="B11" t="s">
        <v>11</v>
      </c>
      <c r="C11" s="6">
        <v>2093733</v>
      </c>
      <c r="D11" s="6" t="s">
        <v>51</v>
      </c>
      <c r="E11" s="2">
        <v>40902</v>
      </c>
      <c r="F11" s="2">
        <v>40919</v>
      </c>
      <c r="G11" t="s">
        <v>14</v>
      </c>
      <c r="H11" t="s">
        <v>43</v>
      </c>
      <c r="I11" s="1">
        <v>12209</v>
      </c>
      <c r="J11" s="8">
        <v>0</v>
      </c>
      <c r="K11" s="1">
        <f>Table9[[#This Row],[Premium Amount]]+Table9[[#This Row],[Late Fee]]</f>
        <v>12209</v>
      </c>
      <c r="L11" s="1"/>
      <c r="M11" s="1"/>
    </row>
    <row r="12" spans="1:13" x14ac:dyDescent="0.2">
      <c r="A12">
        <v>10</v>
      </c>
      <c r="B12" t="s">
        <v>11</v>
      </c>
      <c r="C12" s="6">
        <v>2093733</v>
      </c>
      <c r="D12" s="6" t="s">
        <v>51</v>
      </c>
      <c r="E12" s="2">
        <v>41085</v>
      </c>
      <c r="F12" s="2">
        <v>41162</v>
      </c>
      <c r="G12" t="s">
        <v>15</v>
      </c>
      <c r="H12" t="s">
        <v>43</v>
      </c>
      <c r="I12" s="1">
        <v>12209</v>
      </c>
      <c r="J12" s="8">
        <v>290</v>
      </c>
      <c r="K12" s="1">
        <f>Table9[[#This Row],[Premium Amount]]+Table9[[#This Row],[Late Fee]]</f>
        <v>12499</v>
      </c>
      <c r="L12" s="1"/>
      <c r="M12" s="1"/>
    </row>
    <row r="13" spans="1:13" x14ac:dyDescent="0.2">
      <c r="A13">
        <v>11</v>
      </c>
      <c r="B13" t="s">
        <v>11</v>
      </c>
      <c r="C13" s="6">
        <v>2093733</v>
      </c>
      <c r="D13" s="6" t="s">
        <v>51</v>
      </c>
      <c r="E13" s="2">
        <v>41268</v>
      </c>
      <c r="F13" s="2">
        <v>41318</v>
      </c>
      <c r="G13" t="s">
        <v>16</v>
      </c>
      <c r="H13" t="s">
        <v>43</v>
      </c>
      <c r="I13" s="1">
        <v>12209</v>
      </c>
      <c r="J13" s="8">
        <v>193.3</v>
      </c>
      <c r="K13" s="1">
        <f>Table9[[#This Row],[Premium Amount]]+Table9[[#This Row],[Late Fee]]</f>
        <v>12402.3</v>
      </c>
      <c r="L13" s="1"/>
      <c r="M13" s="1"/>
    </row>
    <row r="14" spans="1:13" x14ac:dyDescent="0.2">
      <c r="A14">
        <v>12</v>
      </c>
      <c r="B14" t="s">
        <v>11</v>
      </c>
      <c r="C14" s="6">
        <v>2093733</v>
      </c>
      <c r="D14" s="6" t="s">
        <v>51</v>
      </c>
      <c r="E14" s="2">
        <v>41450</v>
      </c>
      <c r="F14" s="2">
        <v>41486</v>
      </c>
      <c r="G14" t="s">
        <v>17</v>
      </c>
      <c r="H14" t="s">
        <v>43</v>
      </c>
      <c r="I14" s="1">
        <v>12209</v>
      </c>
      <c r="J14" s="8">
        <v>96.7</v>
      </c>
      <c r="K14" s="1">
        <f>Table9[[#This Row],[Premium Amount]]+Table9[[#This Row],[Late Fee]]</f>
        <v>12305.7</v>
      </c>
      <c r="L14" s="1"/>
      <c r="M14" s="1"/>
    </row>
    <row r="15" spans="1:13" x14ac:dyDescent="0.2">
      <c r="A15">
        <v>13</v>
      </c>
      <c r="B15" t="s">
        <v>11</v>
      </c>
      <c r="C15" s="6">
        <v>2093733</v>
      </c>
      <c r="D15" s="6" t="s">
        <v>51</v>
      </c>
      <c r="E15" s="2">
        <v>41633</v>
      </c>
      <c r="F15" s="2">
        <v>41647</v>
      </c>
      <c r="G15" t="s">
        <v>18</v>
      </c>
      <c r="H15" t="s">
        <v>43</v>
      </c>
      <c r="I15" s="1">
        <v>12209</v>
      </c>
      <c r="J15" s="8">
        <v>0</v>
      </c>
      <c r="K15" s="1">
        <f>Table9[[#This Row],[Premium Amount]]+Table9[[#This Row],[Late Fee]]</f>
        <v>12209</v>
      </c>
      <c r="L15" s="1"/>
      <c r="M15" s="1"/>
    </row>
    <row r="16" spans="1:13" x14ac:dyDescent="0.2">
      <c r="A16">
        <v>14</v>
      </c>
      <c r="B16" t="s">
        <v>11</v>
      </c>
      <c r="C16" s="6">
        <v>2093733</v>
      </c>
      <c r="D16" s="6" t="s">
        <v>51</v>
      </c>
      <c r="E16" s="2">
        <v>41815</v>
      </c>
      <c r="F16" s="2">
        <v>41830</v>
      </c>
      <c r="G16" t="s">
        <v>19</v>
      </c>
      <c r="H16" t="s">
        <v>43</v>
      </c>
      <c r="I16" s="1">
        <v>12209</v>
      </c>
      <c r="J16" s="8">
        <v>0</v>
      </c>
      <c r="K16" s="1">
        <f>Table9[[#This Row],[Premium Amount]]+Table9[[#This Row],[Late Fee]]</f>
        <v>12209</v>
      </c>
      <c r="L16" s="1"/>
      <c r="M16" s="1"/>
    </row>
    <row r="17" spans="1:13" x14ac:dyDescent="0.2">
      <c r="A17">
        <v>15</v>
      </c>
      <c r="B17" t="s">
        <v>11</v>
      </c>
      <c r="C17" s="6">
        <v>2093733</v>
      </c>
      <c r="D17" s="6" t="s">
        <v>51</v>
      </c>
      <c r="E17" s="2">
        <v>41998</v>
      </c>
      <c r="F17" s="2">
        <v>41990</v>
      </c>
      <c r="G17" t="s">
        <v>20</v>
      </c>
      <c r="H17" t="s">
        <v>43</v>
      </c>
      <c r="I17" s="1">
        <v>12209</v>
      </c>
      <c r="J17" s="8">
        <v>0</v>
      </c>
      <c r="K17" s="1">
        <f>Table9[[#This Row],[Premium Amount]]+Table9[[#This Row],[Late Fee]]</f>
        <v>12209</v>
      </c>
      <c r="L17" s="1"/>
      <c r="M17" s="1"/>
    </row>
    <row r="18" spans="1:13" x14ac:dyDescent="0.2">
      <c r="A18">
        <v>16</v>
      </c>
      <c r="B18" t="s">
        <v>11</v>
      </c>
      <c r="C18" s="6">
        <v>2093733</v>
      </c>
      <c r="D18" s="6" t="s">
        <v>51</v>
      </c>
      <c r="E18" s="2">
        <v>42180</v>
      </c>
      <c r="F18" s="2">
        <v>42207</v>
      </c>
      <c r="G18" t="s">
        <v>21</v>
      </c>
      <c r="H18" t="s">
        <v>43</v>
      </c>
      <c r="I18" s="1">
        <v>12209</v>
      </c>
      <c r="J18" s="8">
        <v>0</v>
      </c>
      <c r="K18" s="1">
        <f>Table9[[#This Row],[Premium Amount]]+Table9[[#This Row],[Late Fee]]</f>
        <v>12209</v>
      </c>
      <c r="L18" s="1"/>
      <c r="M18" s="1"/>
    </row>
    <row r="19" spans="1:13" x14ac:dyDescent="0.2">
      <c r="B19" t="s">
        <v>11</v>
      </c>
      <c r="C19" s="6"/>
      <c r="D19" s="6" t="s">
        <v>51</v>
      </c>
      <c r="E19" s="2">
        <v>42326</v>
      </c>
      <c r="F19" s="2">
        <v>42326</v>
      </c>
      <c r="H19" t="s">
        <v>44</v>
      </c>
      <c r="I19" s="1"/>
      <c r="J19" s="8"/>
      <c r="K19" s="1"/>
      <c r="L19" s="1">
        <v>70000</v>
      </c>
      <c r="M19" s="1" t="s">
        <v>47</v>
      </c>
    </row>
    <row r="20" spans="1:13" x14ac:dyDescent="0.2">
      <c r="A20">
        <v>17</v>
      </c>
      <c r="B20" t="s">
        <v>11</v>
      </c>
      <c r="C20" s="6">
        <v>2093733</v>
      </c>
      <c r="D20" s="6" t="s">
        <v>51</v>
      </c>
      <c r="E20" s="2">
        <v>42363</v>
      </c>
      <c r="F20" s="2">
        <v>42457</v>
      </c>
      <c r="G20" t="s">
        <v>22</v>
      </c>
      <c r="H20" t="s">
        <v>43</v>
      </c>
      <c r="I20" s="1">
        <v>12209</v>
      </c>
      <c r="J20" s="8">
        <v>290</v>
      </c>
      <c r="K20" s="1">
        <f>Table9[[#This Row],[Premium Amount]]+Table9[[#This Row],[Late Fee]]</f>
        <v>12499</v>
      </c>
      <c r="L20" s="1"/>
      <c r="M20" s="1"/>
    </row>
    <row r="21" spans="1:13" x14ac:dyDescent="0.2">
      <c r="A21">
        <v>18</v>
      </c>
      <c r="B21" t="s">
        <v>11</v>
      </c>
      <c r="C21" s="6">
        <v>2093733</v>
      </c>
      <c r="D21" s="6" t="s">
        <v>51</v>
      </c>
      <c r="E21" s="2">
        <v>42546</v>
      </c>
      <c r="F21" s="2">
        <v>42648</v>
      </c>
      <c r="G21" t="s">
        <v>23</v>
      </c>
      <c r="H21" t="s">
        <v>43</v>
      </c>
      <c r="I21" s="1">
        <v>12209</v>
      </c>
      <c r="J21" s="8">
        <v>290</v>
      </c>
      <c r="K21" s="1">
        <f>Table9[[#This Row],[Premium Amount]]+Table9[[#This Row],[Late Fee]]</f>
        <v>12499</v>
      </c>
      <c r="L21" s="1"/>
      <c r="M21" s="1"/>
    </row>
    <row r="22" spans="1:13" x14ac:dyDescent="0.2">
      <c r="A22">
        <v>19</v>
      </c>
      <c r="B22" t="s">
        <v>11</v>
      </c>
      <c r="C22" s="6">
        <v>2093733</v>
      </c>
      <c r="D22" s="6" t="s">
        <v>51</v>
      </c>
      <c r="E22" s="2">
        <v>42729</v>
      </c>
      <c r="H22" t="s">
        <v>43</v>
      </c>
      <c r="I22" s="1">
        <v>12209</v>
      </c>
      <c r="J22" s="8">
        <v>0</v>
      </c>
      <c r="K22" s="1">
        <f>Table9[[#This Row],[Premium Amount]]+Table9[[#This Row],[Late Fee]]</f>
        <v>12209</v>
      </c>
      <c r="L22" s="1"/>
      <c r="M22" s="1"/>
    </row>
    <row r="23" spans="1:13" x14ac:dyDescent="0.2">
      <c r="A23">
        <v>20</v>
      </c>
      <c r="B23" t="s">
        <v>11</v>
      </c>
      <c r="C23" s="6">
        <v>2093733</v>
      </c>
      <c r="D23" s="6" t="s">
        <v>51</v>
      </c>
      <c r="E23" s="2">
        <v>42911</v>
      </c>
      <c r="F23" s="2">
        <v>42948</v>
      </c>
      <c r="G23" t="s">
        <v>24</v>
      </c>
      <c r="H23" t="s">
        <v>43</v>
      </c>
      <c r="I23" s="1">
        <v>12209</v>
      </c>
      <c r="J23" s="8">
        <v>96.7</v>
      </c>
      <c r="K23" s="1">
        <f>Table9[[#This Row],[Premium Amount]]+Table9[[#This Row],[Late Fee]]</f>
        <v>12305.7</v>
      </c>
      <c r="L23" s="1"/>
      <c r="M23" s="1"/>
    </row>
    <row r="24" spans="1:13" x14ac:dyDescent="0.2">
      <c r="A24">
        <v>21</v>
      </c>
      <c r="B24" t="s">
        <v>11</v>
      </c>
      <c r="C24" s="6">
        <v>2093733</v>
      </c>
      <c r="D24" s="6" t="s">
        <v>51</v>
      </c>
      <c r="E24" s="2">
        <v>43094</v>
      </c>
      <c r="F24" s="2">
        <v>43137</v>
      </c>
      <c r="G24" t="s">
        <v>25</v>
      </c>
      <c r="H24" t="s">
        <v>43</v>
      </c>
      <c r="I24" s="1">
        <v>12209</v>
      </c>
      <c r="J24" s="8">
        <v>96.7</v>
      </c>
      <c r="K24" s="1">
        <f>Table9[[#This Row],[Premium Amount]]+Table9[[#This Row],[Late Fee]]</f>
        <v>12305.7</v>
      </c>
      <c r="L24" s="1"/>
      <c r="M24" s="1"/>
    </row>
    <row r="25" spans="1:13" x14ac:dyDescent="0.2">
      <c r="A25">
        <v>22</v>
      </c>
      <c r="B25" t="s">
        <v>11</v>
      </c>
      <c r="C25" s="6">
        <v>2093733</v>
      </c>
      <c r="D25" s="6" t="s">
        <v>51</v>
      </c>
      <c r="E25" s="2">
        <v>43276</v>
      </c>
      <c r="F25" s="2">
        <v>43308</v>
      </c>
      <c r="G25" t="s">
        <v>26</v>
      </c>
      <c r="H25" t="s">
        <v>43</v>
      </c>
      <c r="I25" s="1">
        <v>12209</v>
      </c>
      <c r="J25" s="8">
        <v>96.7</v>
      </c>
      <c r="K25" s="1">
        <f>Table9[[#This Row],[Premium Amount]]+Table9[[#This Row],[Late Fee]]</f>
        <v>12305.7</v>
      </c>
      <c r="L25" s="1"/>
      <c r="M25" s="1"/>
    </row>
    <row r="26" spans="1:13" x14ac:dyDescent="0.2">
      <c r="A26">
        <v>23</v>
      </c>
      <c r="B26" t="s">
        <v>11</v>
      </c>
      <c r="C26" s="6">
        <v>2093733</v>
      </c>
      <c r="D26" s="6" t="s">
        <v>51</v>
      </c>
      <c r="E26" s="2">
        <v>43459</v>
      </c>
      <c r="F26" s="2">
        <v>43468</v>
      </c>
      <c r="G26" t="s">
        <v>27</v>
      </c>
      <c r="H26" t="s">
        <v>43</v>
      </c>
      <c r="I26" s="1">
        <v>12209</v>
      </c>
      <c r="J26" s="8">
        <v>0</v>
      </c>
      <c r="K26" s="1">
        <f>Table9[[#This Row],[Premium Amount]]+Table9[[#This Row],[Late Fee]]</f>
        <v>12209</v>
      </c>
      <c r="L26" s="1"/>
      <c r="M26" s="1"/>
    </row>
    <row r="27" spans="1:13" x14ac:dyDescent="0.2">
      <c r="A27">
        <v>24</v>
      </c>
      <c r="B27" t="s">
        <v>11</v>
      </c>
      <c r="C27" s="6">
        <v>2093733</v>
      </c>
      <c r="D27" s="6" t="s">
        <v>51</v>
      </c>
      <c r="E27" s="2">
        <v>43641</v>
      </c>
      <c r="F27" s="2">
        <v>43654</v>
      </c>
      <c r="G27" t="s">
        <v>28</v>
      </c>
      <c r="H27" t="s">
        <v>43</v>
      </c>
      <c r="I27" s="1">
        <v>12209</v>
      </c>
      <c r="J27" s="8">
        <v>0</v>
      </c>
      <c r="K27" s="1">
        <f>Table9[[#This Row],[Premium Amount]]+Table9[[#This Row],[Late Fee]]</f>
        <v>12209</v>
      </c>
      <c r="L27" s="1"/>
      <c r="M27" s="1"/>
    </row>
    <row r="28" spans="1:13" x14ac:dyDescent="0.2">
      <c r="B28" t="s">
        <v>11</v>
      </c>
      <c r="C28" s="6"/>
      <c r="D28" s="6" t="s">
        <v>51</v>
      </c>
      <c r="E28" s="2">
        <v>43780</v>
      </c>
      <c r="F28" s="2">
        <v>43780</v>
      </c>
      <c r="H28" t="s">
        <v>44</v>
      </c>
      <c r="I28" s="1"/>
      <c r="J28" s="8"/>
      <c r="K28" s="1"/>
      <c r="L28" s="1">
        <v>70000</v>
      </c>
      <c r="M28" s="1" t="s">
        <v>48</v>
      </c>
    </row>
    <row r="29" spans="1:13" x14ac:dyDescent="0.2">
      <c r="A29">
        <v>25</v>
      </c>
      <c r="B29" t="s">
        <v>11</v>
      </c>
      <c r="C29" s="6">
        <v>2093733</v>
      </c>
      <c r="D29" s="6" t="s">
        <v>51</v>
      </c>
      <c r="E29" s="2">
        <v>43824</v>
      </c>
      <c r="F29" s="2">
        <v>43839</v>
      </c>
      <c r="G29" t="s">
        <v>29</v>
      </c>
      <c r="H29" t="s">
        <v>43</v>
      </c>
      <c r="I29" s="1">
        <v>12209</v>
      </c>
      <c r="J29" s="8">
        <v>0</v>
      </c>
      <c r="K29" s="1">
        <f>Table9[[#This Row],[Premium Amount]]+Table9[[#This Row],[Late Fee]]</f>
        <v>12209</v>
      </c>
      <c r="L29" s="1"/>
      <c r="M29" s="1"/>
    </row>
    <row r="30" spans="1:13" x14ac:dyDescent="0.2">
      <c r="A30">
        <v>26</v>
      </c>
      <c r="B30" t="s">
        <v>11</v>
      </c>
      <c r="C30" s="6">
        <v>2093733</v>
      </c>
      <c r="D30" s="6" t="s">
        <v>51</v>
      </c>
      <c r="E30" s="2">
        <v>44007</v>
      </c>
      <c r="F30" s="2">
        <v>44008</v>
      </c>
      <c r="H30" t="s">
        <v>43</v>
      </c>
      <c r="I30" s="1">
        <v>12209</v>
      </c>
      <c r="J30" s="8">
        <v>0</v>
      </c>
      <c r="K30" s="1">
        <f>Table9[[#This Row],[Premium Amount]]+Table9[[#This Row],[Late Fee]]</f>
        <v>12209</v>
      </c>
      <c r="L30" s="1"/>
      <c r="M30" s="1" t="s">
        <v>31</v>
      </c>
    </row>
    <row r="31" spans="1:13" x14ac:dyDescent="0.2">
      <c r="A31">
        <v>27</v>
      </c>
      <c r="B31" t="s">
        <v>11</v>
      </c>
      <c r="C31" s="6">
        <v>2093733</v>
      </c>
      <c r="D31" s="6" t="s">
        <v>51</v>
      </c>
      <c r="E31" s="2">
        <v>44190</v>
      </c>
      <c r="F31" s="2">
        <v>44228</v>
      </c>
      <c r="G31" t="s">
        <v>32</v>
      </c>
      <c r="H31" t="s">
        <v>43</v>
      </c>
      <c r="I31" s="1">
        <v>12209</v>
      </c>
      <c r="J31" s="8">
        <v>77.36</v>
      </c>
      <c r="K31" s="1">
        <f>Table9[[#This Row],[Premium Amount]]+Table9[[#This Row],[Late Fee]]</f>
        <v>12286.36</v>
      </c>
      <c r="L31" s="1"/>
      <c r="M31" s="1"/>
    </row>
    <row r="32" spans="1:13" x14ac:dyDescent="0.2">
      <c r="A32">
        <v>28</v>
      </c>
      <c r="B32" t="s">
        <v>11</v>
      </c>
      <c r="C32" s="6">
        <v>2093733</v>
      </c>
      <c r="D32" s="6" t="s">
        <v>51</v>
      </c>
      <c r="E32" s="2">
        <v>44372</v>
      </c>
      <c r="F32" s="2">
        <v>44355</v>
      </c>
      <c r="G32" t="s">
        <v>33</v>
      </c>
      <c r="H32" t="s">
        <v>43</v>
      </c>
      <c r="I32" s="1">
        <v>12209</v>
      </c>
      <c r="J32" s="8">
        <v>0</v>
      </c>
      <c r="K32" s="1">
        <f>Table9[[#This Row],[Premium Amount]]+Table9[[#This Row],[Late Fee]]</f>
        <v>12209</v>
      </c>
      <c r="L32" s="1"/>
      <c r="M32" s="1"/>
    </row>
    <row r="33" spans="1:13" x14ac:dyDescent="0.2">
      <c r="A33">
        <v>29</v>
      </c>
      <c r="B33" t="s">
        <v>11</v>
      </c>
      <c r="C33" s="6">
        <v>2093733</v>
      </c>
      <c r="D33" s="6" t="s">
        <v>51</v>
      </c>
      <c r="E33" s="2">
        <v>44555</v>
      </c>
      <c r="F33" s="2">
        <v>44590</v>
      </c>
      <c r="G33" t="s">
        <v>34</v>
      </c>
      <c r="H33" t="s">
        <v>43</v>
      </c>
      <c r="I33" s="1">
        <v>12209</v>
      </c>
      <c r="J33" s="8">
        <v>96.7</v>
      </c>
      <c r="K33" s="1">
        <f>Table9[[#This Row],[Premium Amount]]+Table9[[#This Row],[Late Fee]]</f>
        <v>12305.7</v>
      </c>
      <c r="L33" s="1"/>
      <c r="M33" s="1"/>
    </row>
    <row r="34" spans="1:13" x14ac:dyDescent="0.2">
      <c r="A34">
        <v>30</v>
      </c>
      <c r="B34" t="s">
        <v>11</v>
      </c>
      <c r="C34" s="6">
        <v>2093733</v>
      </c>
      <c r="D34" s="6" t="s">
        <v>51</v>
      </c>
      <c r="E34" s="2">
        <v>44737</v>
      </c>
      <c r="F34" s="2">
        <v>44764</v>
      </c>
      <c r="G34" t="s">
        <v>35</v>
      </c>
      <c r="H34" t="s">
        <v>43</v>
      </c>
      <c r="I34" s="1">
        <v>12209</v>
      </c>
      <c r="J34" s="8">
        <v>0</v>
      </c>
      <c r="K34" s="1">
        <f>Table9[[#This Row],[Premium Amount]]+Table9[[#This Row],[Late Fee]]</f>
        <v>12209</v>
      </c>
      <c r="L34" s="1"/>
      <c r="M34" s="1"/>
    </row>
    <row r="35" spans="1:13" x14ac:dyDescent="0.2">
      <c r="A35">
        <v>31</v>
      </c>
      <c r="B35" t="s">
        <v>11</v>
      </c>
      <c r="C35" s="6">
        <v>2093733</v>
      </c>
      <c r="D35" s="6" t="s">
        <v>51</v>
      </c>
      <c r="E35" s="2">
        <v>44920</v>
      </c>
      <c r="F35" s="2">
        <v>44936</v>
      </c>
      <c r="G35" t="s">
        <v>36</v>
      </c>
      <c r="H35" t="s">
        <v>43</v>
      </c>
      <c r="I35" s="1">
        <v>12209</v>
      </c>
      <c r="J35" s="8">
        <v>0</v>
      </c>
      <c r="K35" s="1">
        <f>Table9[[#This Row],[Premium Amount]]+Table9[[#This Row],[Late Fee]]</f>
        <v>12209</v>
      </c>
      <c r="L35" s="1"/>
      <c r="M35" s="1"/>
    </row>
    <row r="36" spans="1:13" x14ac:dyDescent="0.2">
      <c r="A36">
        <v>32</v>
      </c>
      <c r="B36" t="s">
        <v>11</v>
      </c>
      <c r="C36" s="6">
        <v>2093733</v>
      </c>
      <c r="D36" s="6" t="s">
        <v>51</v>
      </c>
      <c r="E36" s="2">
        <v>45102</v>
      </c>
      <c r="F36" s="2">
        <v>45141</v>
      </c>
      <c r="G36" t="s">
        <v>37</v>
      </c>
      <c r="H36" t="s">
        <v>43</v>
      </c>
      <c r="I36" s="1">
        <v>12209</v>
      </c>
      <c r="J36" s="8">
        <v>96.7</v>
      </c>
      <c r="K36" s="1">
        <f>Table9[[#This Row],[Premium Amount]]+Table9[[#This Row],[Late Fee]]</f>
        <v>12305.7</v>
      </c>
      <c r="L36" s="1"/>
      <c r="M36" s="1"/>
    </row>
    <row r="37" spans="1:13" x14ac:dyDescent="0.2">
      <c r="B37" t="s">
        <v>11</v>
      </c>
      <c r="C37" s="6"/>
      <c r="D37" s="6" t="s">
        <v>51</v>
      </c>
      <c r="E37" s="2">
        <v>45196</v>
      </c>
      <c r="F37" s="2">
        <v>45196</v>
      </c>
      <c r="H37" t="s">
        <v>44</v>
      </c>
      <c r="I37" s="1"/>
      <c r="J37" s="8"/>
      <c r="K37" s="1"/>
      <c r="L37" s="1">
        <v>70000</v>
      </c>
      <c r="M37" s="1" t="s">
        <v>49</v>
      </c>
    </row>
    <row r="38" spans="1:13" x14ac:dyDescent="0.2">
      <c r="A38">
        <v>33</v>
      </c>
      <c r="B38" t="s">
        <v>11</v>
      </c>
      <c r="C38" s="6">
        <v>2093733</v>
      </c>
      <c r="D38" s="6" t="s">
        <v>51</v>
      </c>
      <c r="E38" s="2">
        <v>45285</v>
      </c>
      <c r="F38" s="2">
        <v>45299</v>
      </c>
      <c r="G38" t="s">
        <v>38</v>
      </c>
      <c r="H38" t="s">
        <v>43</v>
      </c>
      <c r="I38" s="1">
        <v>12209</v>
      </c>
      <c r="J38" s="8">
        <v>0</v>
      </c>
      <c r="K38" s="1">
        <f>Table9[[#This Row],[Premium Amount]]+Table9[[#This Row],[Late Fee]]</f>
        <v>12209</v>
      </c>
      <c r="L38" s="1"/>
      <c r="M38" s="1"/>
    </row>
    <row r="39" spans="1:13" x14ac:dyDescent="0.2">
      <c r="A39">
        <v>34</v>
      </c>
      <c r="B39" t="s">
        <v>11</v>
      </c>
      <c r="C39" s="6">
        <v>2093733</v>
      </c>
      <c r="D39" s="6" t="s">
        <v>51</v>
      </c>
      <c r="E39" s="2">
        <v>45468</v>
      </c>
      <c r="F39" s="2">
        <v>45651</v>
      </c>
      <c r="G39" t="s">
        <v>39</v>
      </c>
      <c r="H39" t="s">
        <v>43</v>
      </c>
      <c r="I39" s="1">
        <v>12209</v>
      </c>
      <c r="J39" s="8">
        <v>580</v>
      </c>
      <c r="K39" s="1">
        <f>Table9[[#This Row],[Premium Amount]]+Table9[[#This Row],[Late Fee]]</f>
        <v>12789</v>
      </c>
      <c r="L39" s="1"/>
      <c r="M39" s="1" t="s">
        <v>40</v>
      </c>
    </row>
    <row r="40" spans="1:13" x14ac:dyDescent="0.2">
      <c r="A40">
        <v>35</v>
      </c>
      <c r="B40" t="s">
        <v>11</v>
      </c>
      <c r="C40" s="6">
        <v>2093733</v>
      </c>
      <c r="D40" s="6" t="s">
        <v>51</v>
      </c>
      <c r="E40" s="2">
        <v>45651</v>
      </c>
      <c r="F40" s="2">
        <v>45651</v>
      </c>
      <c r="G40" t="s">
        <v>39</v>
      </c>
      <c r="H40" t="s">
        <v>43</v>
      </c>
      <c r="I40" s="1">
        <v>12209</v>
      </c>
      <c r="J40" s="8">
        <v>0</v>
      </c>
      <c r="K40" s="1">
        <f>Table9[[#This Row],[Premium Amount]]+Table9[[#This Row],[Late Fee]]</f>
        <v>12209</v>
      </c>
      <c r="L40" s="1"/>
      <c r="M40" s="1"/>
    </row>
    <row r="41" spans="1:13" x14ac:dyDescent="0.2">
      <c r="A41">
        <v>36</v>
      </c>
      <c r="B41" t="s">
        <v>11</v>
      </c>
      <c r="C41" s="6">
        <v>2093733</v>
      </c>
      <c r="D41" s="6" t="s">
        <v>51</v>
      </c>
      <c r="E41" s="2">
        <v>45833</v>
      </c>
      <c r="F41" s="2">
        <v>45580</v>
      </c>
      <c r="G41" t="s">
        <v>41</v>
      </c>
      <c r="H41" t="s">
        <v>43</v>
      </c>
      <c r="I41" s="1">
        <v>12209</v>
      </c>
      <c r="J41" s="8">
        <v>270</v>
      </c>
      <c r="K41" s="1">
        <f>Table9[[#This Row],[Premium Amount]]+Table9[[#This Row],[Late Fee]]</f>
        <v>12479</v>
      </c>
      <c r="L41" s="1"/>
      <c r="M41" s="1"/>
    </row>
    <row r="42" spans="1:13" x14ac:dyDescent="0.2">
      <c r="A42">
        <v>37</v>
      </c>
      <c r="E42" s="2">
        <v>46016</v>
      </c>
      <c r="J42" s="8"/>
      <c r="K42" s="1">
        <f>Table9[[#This Row],[Premium Amount]]+Table9[[#This Row],[Late Fee]]</f>
        <v>0</v>
      </c>
      <c r="L42" s="1"/>
      <c r="M42" s="1"/>
    </row>
    <row r="43" spans="1:13" x14ac:dyDescent="0.2">
      <c r="A43">
        <v>38</v>
      </c>
      <c r="E43" s="2">
        <v>46198</v>
      </c>
      <c r="J43" s="8"/>
      <c r="K43" s="1">
        <f>Table9[[#This Row],[Premium Amount]]+Table9[[#This Row],[Late Fee]]</f>
        <v>0</v>
      </c>
      <c r="L43" s="1"/>
      <c r="M43" s="1"/>
    </row>
    <row r="44" spans="1:13" x14ac:dyDescent="0.2">
      <c r="A44">
        <v>39</v>
      </c>
      <c r="E44" s="2">
        <v>46381</v>
      </c>
      <c r="J44" s="8"/>
      <c r="K44" s="1">
        <f>Table9[[#This Row],[Premium Amount]]+Table9[[#This Row],[Late Fee]]</f>
        <v>0</v>
      </c>
      <c r="L44" s="1"/>
      <c r="M44" s="1"/>
    </row>
    <row r="45" spans="1:13" x14ac:dyDescent="0.2">
      <c r="A45">
        <v>40</v>
      </c>
      <c r="E45" s="2">
        <v>46563</v>
      </c>
      <c r="J45" s="8"/>
      <c r="K45" s="1">
        <f>Table9[[#This Row],[Premium Amount]]+Table9[[#This Row],[Late Fee]]</f>
        <v>0</v>
      </c>
      <c r="L45" s="1"/>
      <c r="M45" s="1"/>
    </row>
    <row r="46" spans="1:13" x14ac:dyDescent="0.2">
      <c r="A46" s="3" t="s">
        <v>4</v>
      </c>
      <c r="B46" s="3"/>
      <c r="C46" s="3"/>
      <c r="D46" s="3"/>
      <c r="E46" s="4"/>
      <c r="F46" s="3"/>
      <c r="G46" s="3"/>
      <c r="H46" s="3"/>
      <c r="I46" s="5">
        <f>SUM(I2:I45)</f>
        <v>439524</v>
      </c>
      <c r="J46" s="5">
        <f>SUM(J2:J45)</f>
        <v>2896.46</v>
      </c>
      <c r="K46" s="5">
        <f>Table9[[#This Row],[Premium Amount]]+Table9[[#This Row],[Late Fee]]</f>
        <v>442420.46</v>
      </c>
      <c r="L46" s="5">
        <f>SUM(L2:L45)</f>
        <v>280000</v>
      </c>
      <c r="M46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Venkatesan</dc:creator>
  <cp:lastModifiedBy>Arun Venkatesan</cp:lastModifiedBy>
  <dcterms:created xsi:type="dcterms:W3CDTF">2025-12-04T08:12:55Z</dcterms:created>
  <dcterms:modified xsi:type="dcterms:W3CDTF">2025-12-05T22:31:22Z</dcterms:modified>
</cp:coreProperties>
</file>